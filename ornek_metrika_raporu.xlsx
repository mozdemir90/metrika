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zet Yönetici Paneli" sheetId="1" state="visible" r:id="rId1"/>
    <sheet name="Teknisyen Performansı" sheetId="2" state="visible" r:id="rId2"/>
    <sheet name="Kurum &amp; Kök Neden Analizi" sheetId="3" state="visible" r:id="rId3"/>
    <sheet name="Detaylı Çağrı Listesi" sheetId="4" state="visible" r:id="rId4"/>
  </sheets>
  <definedNames>
    <definedName name="_xlnm._FilterDatabase" localSheetId="3" hidden="1">'Detaylı Çağrı Listesi'!$A$1:$Q$68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94A3B8"/>
      <sz val="10"/>
    </font>
    <font>
      <name val="Calibri"/>
      <b val="1"/>
      <color rgb="0064748B"/>
      <sz val="9"/>
    </font>
    <font>
      <name val="Calibri"/>
      <b val="1"/>
      <color rgb="000F172A"/>
      <sz val="16"/>
    </font>
    <font>
      <name val="Calibri"/>
      <i val="1"/>
      <color rgb="0064748B"/>
      <sz val="8"/>
    </font>
    <font>
      <name val="Calibri"/>
      <b val="1"/>
      <color rgb="00FFFFFF"/>
      <sz val="11"/>
    </font>
    <font>
      <name val="Calibri"/>
      <b val="1"/>
      <color rgb="000F172A"/>
      <sz val="9"/>
    </font>
    <font>
      <name val="Calibri"/>
      <b val="1"/>
      <sz val="10"/>
    </font>
    <font>
      <name val="Calibri"/>
      <b val="1"/>
      <color rgb="00991B1B"/>
      <sz val="9"/>
    </font>
    <font>
      <name val="Calibri"/>
      <b val="1"/>
      <color rgb="0092400E"/>
      <sz val="9"/>
    </font>
    <font>
      <name val="Calibri"/>
      <b val="1"/>
      <color rgb="00065F46"/>
      <sz val="9"/>
    </font>
    <font>
      <name val="Calibri"/>
      <b val="1"/>
      <color rgb="000F172A"/>
      <sz val="10"/>
    </font>
    <font>
      <name val="Calibri"/>
      <i val="1"/>
      <color rgb="0064748B"/>
      <sz val="9"/>
    </font>
    <font>
      <name val="Calibri"/>
      <b val="1"/>
      <color rgb="00FFFFFF"/>
      <sz val="13"/>
    </font>
    <font>
      <name val="Calibri"/>
      <b val="1"/>
      <color rgb="00FFFFFF"/>
      <sz val="9"/>
    </font>
  </fonts>
  <fills count="13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</patternFill>
    </fill>
    <fill>
      <patternFill patternType="solid">
        <fgColor rgb="00334155"/>
      </patternFill>
    </fill>
    <fill>
      <patternFill patternType="solid">
        <fgColor rgb="00E2E8F0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0F172A"/>
      </patternFill>
    </fill>
    <fill>
      <patternFill patternType="solid">
        <fgColor rgb="001E3A8A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indent="1"/>
    </xf>
    <xf numFmtId="0" fontId="7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indent="1"/>
    </xf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 indent="1"/>
    </xf>
    <xf numFmtId="0" fontId="14" fillId="9" borderId="0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indent="1"/>
    </xf>
    <xf numFmtId="3" fontId="0" fillId="11" borderId="1" applyAlignment="1" pivotButton="0" quotePrefix="0" xfId="0">
      <alignment horizontal="center" vertical="center"/>
    </xf>
    <xf numFmtId="164" fontId="0" fillId="11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left" vertical="center" indent="1"/>
    </xf>
    <xf numFmtId="3" fontId="0" fillId="12" borderId="1" applyAlignment="1" pivotButton="0" quotePrefix="0" xfId="0">
      <alignment horizontal="center" vertical="center"/>
    </xf>
    <xf numFmtId="164" fontId="0" fillId="12" borderId="1" applyAlignment="1" pivotButton="0" quotePrefix="0" xfId="0">
      <alignment horizontal="center" vertical="center"/>
    </xf>
    <xf numFmtId="165" fontId="0" fillId="12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indent="1"/>
    </xf>
    <xf numFmtId="3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20" customWidth="1" min="4" max="4"/>
    <col width="20" customWidth="1" min="5" max="5"/>
    <col width="22" customWidth="1" min="6" max="6"/>
    <col width="20" customWidth="1" min="7" max="7"/>
    <col width="4" customWidth="1" min="8" max="8"/>
  </cols>
  <sheetData>
    <row r="2" ht="40" customHeight="1">
      <c r="B2" s="1" t="inlineStr">
        <is>
          <t>METRİKA | BELGENET SERVİS MASASI HAFTALIK PERFORMANS RAPORU</t>
        </is>
      </c>
    </row>
    <row r="3" ht="22" customHeight="1">
      <c r="B3" s="2" t="inlineStr">
        <is>
          <t>Rapor Oluşturulma Tarihi: 14.09.2026 17:23  |  Kapsam: Belgenet L1/L2 Destek &amp; SLA Metrikleri</t>
        </is>
      </c>
    </row>
    <row r="5" ht="24" customHeight="1">
      <c r="B5" s="3" t="inlineStr">
        <is>
          <t>TOPLAM ÇAĞRI</t>
        </is>
      </c>
      <c r="C5" s="4" t="n"/>
      <c r="D5" s="3" t="inlineStr">
        <is>
          <t>SLA UYUM ORANI</t>
        </is>
      </c>
      <c r="E5" s="3" t="inlineStr">
        <is>
          <t>İLK TEMASTA ÇÖZÜM (FCR)</t>
        </is>
      </c>
      <c r="F5" s="3" t="inlineStr">
        <is>
          <t>YENİDEN AÇILMA ORANI</t>
        </is>
      </c>
      <c r="G5" s="3" t="inlineStr">
        <is>
          <t>ORT. NET ÇÖZÜM (MTTR)</t>
        </is>
      </c>
    </row>
    <row r="6" ht="36" customHeight="1">
      <c r="B6" s="5" t="inlineStr">
        <is>
          <t>67</t>
        </is>
      </c>
      <c r="C6" s="4" t="n"/>
      <c r="D6" s="5" t="inlineStr">
        <is>
          <t>%60.7</t>
        </is>
      </c>
      <c r="E6" s="5" t="inlineStr">
        <is>
          <t>%64.2</t>
        </is>
      </c>
      <c r="F6" s="5" t="inlineStr">
        <is>
          <t>%9.0</t>
        </is>
      </c>
      <c r="G6" s="5" t="inlineStr">
        <is>
          <t>37.3 saat</t>
        </is>
      </c>
    </row>
    <row r="7" ht="20" customHeight="1">
      <c r="B7" s="6" t="inlineStr">
        <is>
          <t>Toplam talep hacmi</t>
        </is>
      </c>
      <c r="C7" s="4" t="n"/>
      <c r="D7" s="6" t="inlineStr">
        <is>
          <t>MTTA + MTTR Uyum Ort.</t>
        </is>
      </c>
      <c r="E7" s="6" t="inlineStr">
        <is>
          <t>43 adet doğrudan çözüm</t>
        </is>
      </c>
      <c r="F7" s="6" t="inlineStr">
        <is>
          <t>6 adet tekrar açıldı</t>
        </is>
      </c>
      <c r="G7" s="6" t="inlineStr">
        <is>
          <t>Dış bekleme: 6.0 sa</t>
        </is>
      </c>
    </row>
    <row r="10" ht="28" customHeight="1">
      <c r="B10" s="7" t="inlineStr">
        <is>
          <t>1. ÖNCELİK SEVİYELERİNE GÖRE SLA VE SÜRE PERFORMANSI</t>
        </is>
      </c>
    </row>
    <row r="11" ht="24" customHeight="1">
      <c r="B11" s="8" t="inlineStr">
        <is>
          <t>Öncelik Seviyesi</t>
        </is>
      </c>
      <c r="C11" s="8" t="inlineStr">
        <is>
          <t>Çağrı Adedi</t>
        </is>
      </c>
      <c r="D11" s="8" t="inlineStr">
        <is>
          <t>İlk Ele Alınma SLA (MTTA)</t>
        </is>
      </c>
      <c r="E11" s="8" t="inlineStr">
        <is>
          <t>Net Çözüm SLA (MTTR)</t>
        </is>
      </c>
      <c r="F11" s="8" t="inlineStr">
        <is>
          <t>Ort. Net Efor</t>
        </is>
      </c>
      <c r="G11" s="8" t="inlineStr">
        <is>
          <t>Genel Durum</t>
        </is>
      </c>
    </row>
    <row r="12" ht="22" customHeight="1">
      <c r="B12" s="9" t="inlineStr">
        <is>
          <t>Çok Yüksek</t>
        </is>
      </c>
      <c r="C12" s="10" t="n">
        <v>6</v>
      </c>
      <c r="D12" s="10" t="inlineStr">
        <is>
          <t>%50.0</t>
        </is>
      </c>
      <c r="E12" s="10" t="inlineStr">
        <is>
          <t>%0.0</t>
        </is>
      </c>
      <c r="F12" s="10" t="inlineStr">
        <is>
          <t>54.2 saat</t>
        </is>
      </c>
      <c r="G12" s="11" t="inlineStr">
        <is>
          <t>Kritik Eşik Altı</t>
        </is>
      </c>
    </row>
    <row r="13" ht="22" customHeight="1">
      <c r="B13" s="9" t="inlineStr">
        <is>
          <t>Yüksek</t>
        </is>
      </c>
      <c r="C13" s="10" t="n">
        <v>19</v>
      </c>
      <c r="D13" s="10" t="inlineStr">
        <is>
          <t>%73.7</t>
        </is>
      </c>
      <c r="E13" s="10" t="inlineStr">
        <is>
          <t>%26.3</t>
        </is>
      </c>
      <c r="F13" s="10" t="inlineStr">
        <is>
          <t>41.3 saat</t>
        </is>
      </c>
      <c r="G13" s="11" t="inlineStr">
        <is>
          <t>Kritik Eşik Altı</t>
        </is>
      </c>
    </row>
    <row r="14" ht="22" customHeight="1">
      <c r="B14" s="9" t="inlineStr">
        <is>
          <t>Orta</t>
        </is>
      </c>
      <c r="C14" s="10" t="n">
        <v>28</v>
      </c>
      <c r="D14" s="10" t="inlineStr">
        <is>
          <t>%64.3</t>
        </is>
      </c>
      <c r="E14" s="10" t="inlineStr">
        <is>
          <t>%71.4</t>
        </is>
      </c>
      <c r="F14" s="10" t="inlineStr">
        <is>
          <t>31.9 saat</t>
        </is>
      </c>
      <c r="G14" s="12" t="inlineStr">
        <is>
          <t>Kabul Edilebilir</t>
        </is>
      </c>
    </row>
    <row r="15" ht="22" customHeight="1">
      <c r="B15" s="9" t="inlineStr">
        <is>
          <t>Düşük</t>
        </is>
      </c>
      <c r="C15" s="10" t="n">
        <v>14</v>
      </c>
      <c r="D15" s="10" t="inlineStr">
        <is>
          <t>%78.6</t>
        </is>
      </c>
      <c r="E15" s="10" t="inlineStr">
        <is>
          <t>%100.0</t>
        </is>
      </c>
      <c r="F15" s="10" t="inlineStr">
        <is>
          <t>36.8 saat</t>
        </is>
      </c>
      <c r="G15" s="13" t="inlineStr">
        <is>
          <t>Başarılı</t>
        </is>
      </c>
    </row>
    <row r="18" ht="28" customHeight="1">
      <c r="B18" s="7" t="inlineStr">
        <is>
          <t>2. OPERASYONEL ÇAĞRI HACMİ VE KÖK NEDEN DAĞILIMI</t>
        </is>
      </c>
    </row>
    <row r="19" ht="22" customHeight="1">
      <c r="B19" s="14" t="inlineStr">
        <is>
          <t>Operasyonel Metrik</t>
        </is>
      </c>
      <c r="C19" s="14" t="inlineStr">
        <is>
          <t>Sonuç</t>
        </is>
      </c>
      <c r="D19" s="14" t="inlineStr">
        <is>
          <t>Hesaplama Yöntemi &amp; Formül</t>
        </is>
      </c>
      <c r="E19" s="14" t="n"/>
      <c r="F19" s="14" t="n"/>
      <c r="G19" s="14" t="n"/>
    </row>
    <row r="20" ht="22" customHeight="1">
      <c r="B20" s="15" t="inlineStr">
        <is>
          <t>Çözülen Çağrı Oranı</t>
        </is>
      </c>
      <c r="C20" s="16" t="inlineStr">
        <is>
          <t>%83.6</t>
        </is>
      </c>
      <c r="D20" s="17" t="inlineStr">
        <is>
          <t>Çözülen Çağrı / Toplam Çağrı Sayısı</t>
        </is>
      </c>
      <c r="E20" s="4" t="n"/>
      <c r="F20" s="4" t="n"/>
      <c r="G20" s="4" t="n"/>
    </row>
    <row r="21" ht="22" customHeight="1">
      <c r="B21" s="15" t="inlineStr">
        <is>
          <t>Ortalama İlk Yanıt (MTTA)</t>
        </is>
      </c>
      <c r="C21" s="16" t="inlineStr">
        <is>
          <t>41.4 dk</t>
        </is>
      </c>
      <c r="D21" s="17" t="inlineStr">
        <is>
          <t>İlk Ele Alınma Süresi (Hedef: &lt;= 30 dk Yüksek, &lt;= 60 dk Diğer)</t>
        </is>
      </c>
      <c r="E21" s="4" t="n"/>
      <c r="F21" s="4" t="n"/>
      <c r="G21" s="4" t="n"/>
    </row>
    <row r="22" ht="22" customHeight="1">
      <c r="B22" s="15" t="inlineStr">
        <is>
          <t>Ortalama Brüt Çözüm Süresi</t>
        </is>
      </c>
      <c r="C22" s="16" t="inlineStr">
        <is>
          <t>43.4 saat</t>
        </is>
      </c>
      <c r="D22" s="17" t="inlineStr">
        <is>
          <t>Açılış anından kapanışa kadar geçen brüt takvim süresi</t>
        </is>
      </c>
      <c r="E22" s="4" t="n"/>
      <c r="F22" s="4" t="n"/>
      <c r="G22" s="4" t="n"/>
    </row>
    <row r="23" ht="22" customHeight="1">
      <c r="B23" s="15" t="inlineStr">
        <is>
          <t>Ortalama Dış Bekleme Süresi</t>
        </is>
      </c>
      <c r="C23" s="16" t="inlineStr">
        <is>
          <t>6.0 saat</t>
        </is>
      </c>
      <c r="D23" s="17" t="inlineStr">
        <is>
          <t>Kurumdan bilgi/onay beklenen süre (Personel eforundan düşülür)</t>
        </is>
      </c>
      <c r="E23" s="4" t="n"/>
      <c r="F23" s="4" t="n"/>
      <c r="G23" s="4" t="n"/>
    </row>
    <row r="24" ht="22" customHeight="1">
      <c r="B24" s="15" t="inlineStr">
        <is>
          <t>Ortalama Net Çözüm Süresi</t>
        </is>
      </c>
      <c r="C24" s="16" t="inlineStr">
        <is>
          <t>37.3 saat</t>
        </is>
      </c>
      <c r="D24" s="17" t="inlineStr">
        <is>
          <t>Net Efor = (Toplam Çözüm Süresi - Dış Bekleme Süresi)</t>
        </is>
      </c>
      <c r="E24" s="4" t="n"/>
      <c r="F24" s="4" t="n"/>
      <c r="G24" s="4" t="n"/>
    </row>
    <row r="25" ht="22" customHeight="1">
      <c r="B25" s="15" t="inlineStr">
        <is>
          <t>Hata (Bug) Çağrı Sayısı</t>
        </is>
      </c>
      <c r="C25" s="16" t="inlineStr">
        <is>
          <t>40 adet</t>
        </is>
      </c>
      <c r="D25" s="17" t="inlineStr">
        <is>
          <t>Yazılımsal hata ve servis kesintisi kaynaklı çağrılar</t>
        </is>
      </c>
      <c r="E25" s="4" t="n"/>
      <c r="F25" s="4" t="n"/>
      <c r="G25" s="4" t="n"/>
    </row>
    <row r="26" ht="22" customHeight="1">
      <c r="B26" s="15" t="inlineStr">
        <is>
          <t>Destek / Talep Sayısı</t>
        </is>
      </c>
      <c r="C26" s="16" t="inlineStr">
        <is>
          <t>27 adet</t>
        </is>
      </c>
      <c r="D26" s="17" t="inlineStr">
        <is>
          <t>Kullanım yardımı, rol/yetki ve form düzenleme talepleri</t>
        </is>
      </c>
      <c r="E26" s="4" t="n"/>
      <c r="F26" s="4" t="n"/>
      <c r="G26" s="4" t="n"/>
    </row>
  </sheetData>
  <mergeCells count="15">
    <mergeCell ref="B3:G3"/>
    <mergeCell ref="B2:G2"/>
    <mergeCell ref="B6:C6"/>
    <mergeCell ref="D22:G22"/>
    <mergeCell ref="B10:G10"/>
    <mergeCell ref="D23:G23"/>
    <mergeCell ref="D26:G26"/>
    <mergeCell ref="B7:C7"/>
    <mergeCell ref="B5:C5"/>
    <mergeCell ref="D20:G20"/>
    <mergeCell ref="D25:G25"/>
    <mergeCell ref="D21:G21"/>
    <mergeCell ref="D24:G24"/>
    <mergeCell ref="B18:G18"/>
    <mergeCell ref="D19:G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13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6" customWidth="1" min="4" max="4"/>
    <col width="18" customWidth="1" min="5" max="5"/>
    <col width="15" customWidth="1" min="6" max="6"/>
    <col width="15" customWidth="1" min="7" max="7"/>
    <col width="22" customWidth="1" min="8" max="8"/>
  </cols>
  <sheetData>
    <row r="2" ht="35" customHeight="1">
      <c r="A2" s="18" t="inlineStr">
        <is>
          <t>TEKNİSYEN OPERASYONEL PERFORMANS MATRİSİ</t>
        </is>
      </c>
    </row>
    <row r="4" ht="26" customHeight="1">
      <c r="A4" s="19" t="inlineStr">
        <is>
          <t>Teknisyen Adı (Normalleştirilmiş)</t>
        </is>
      </c>
      <c r="B4" s="19" t="inlineStr">
        <is>
          <t>Atanan Çağrı</t>
        </is>
      </c>
      <c r="C4" s="19" t="inlineStr">
        <is>
          <t>Çözülen Çağrı</t>
        </is>
      </c>
      <c r="D4" s="19" t="inlineStr">
        <is>
          <t>Çözüm Oranı (%)</t>
        </is>
      </c>
      <c r="E4" s="19" t="inlineStr">
        <is>
          <t>Ort. Net Efor (Saat)</t>
        </is>
      </c>
      <c r="F4" s="19" t="inlineStr">
        <is>
          <t>MTTA SLA (%)</t>
        </is>
      </c>
      <c r="G4" s="19" t="inlineStr">
        <is>
          <t>MTTR SLA (%)</t>
        </is>
      </c>
      <c r="H4" s="19" t="inlineStr">
        <is>
          <t>Yeniden Açılma Oranı (%)</t>
        </is>
      </c>
    </row>
    <row r="5" ht="22" customHeight="1">
      <c r="A5" s="20" t="inlineStr">
        <is>
          <t>Emre Koç</t>
        </is>
      </c>
      <c r="B5" s="21" t="n">
        <v>14</v>
      </c>
      <c r="C5" s="21" t="n">
        <v>13</v>
      </c>
      <c r="D5" s="22" t="n">
        <v>0.929</v>
      </c>
      <c r="E5" s="23" t="n">
        <v>42.3</v>
      </c>
      <c r="F5" s="22" t="n">
        <v>0.857</v>
      </c>
      <c r="G5" s="22" t="n">
        <v>0.5</v>
      </c>
      <c r="H5" s="22" t="n">
        <v>0.07099999999999999</v>
      </c>
    </row>
    <row r="6" ht="22" customHeight="1">
      <c r="A6" s="24" t="inlineStr">
        <is>
          <t>Ayşe Demir</t>
        </is>
      </c>
      <c r="B6" s="25" t="n">
        <v>9</v>
      </c>
      <c r="C6" s="25" t="n">
        <v>8</v>
      </c>
      <c r="D6" s="26" t="n">
        <v>0.889</v>
      </c>
      <c r="E6" s="27" t="n">
        <v>36.8</v>
      </c>
      <c r="F6" s="26" t="n">
        <v>0.333</v>
      </c>
      <c r="G6" s="26" t="n">
        <v>0.556</v>
      </c>
      <c r="H6" s="26" t="n">
        <v>0</v>
      </c>
    </row>
    <row r="7" ht="22" customHeight="1">
      <c r="A7" s="20" t="inlineStr">
        <is>
          <t>Burak Şahin</t>
        </is>
      </c>
      <c r="B7" s="21" t="n">
        <v>9</v>
      </c>
      <c r="C7" s="21" t="n">
        <v>7</v>
      </c>
      <c r="D7" s="22" t="n">
        <v>0.778</v>
      </c>
      <c r="E7" s="23" t="n">
        <v>39.4</v>
      </c>
      <c r="F7" s="22" t="n">
        <v>0.778</v>
      </c>
      <c r="G7" s="22" t="n">
        <v>0.556</v>
      </c>
      <c r="H7" s="22" t="n">
        <v>0.111</v>
      </c>
    </row>
    <row r="8" ht="22" customHeight="1">
      <c r="A8" s="24" t="inlineStr">
        <is>
          <t>Zeynep Yıldız</t>
        </is>
      </c>
      <c r="B8" s="25" t="n">
        <v>9</v>
      </c>
      <c r="C8" s="25" t="n">
        <v>7</v>
      </c>
      <c r="D8" s="26" t="n">
        <v>0.778</v>
      </c>
      <c r="E8" s="27" t="n">
        <v>33.1</v>
      </c>
      <c r="F8" s="26" t="n">
        <v>0.778</v>
      </c>
      <c r="G8" s="26" t="n">
        <v>0.667</v>
      </c>
      <c r="H8" s="26" t="n">
        <v>0.111</v>
      </c>
    </row>
    <row r="9" ht="22" customHeight="1">
      <c r="A9" s="20" t="inlineStr">
        <is>
          <t>Ahmet Yılmaz</t>
        </is>
      </c>
      <c r="B9" s="21" t="n">
        <v>8</v>
      </c>
      <c r="C9" s="21" t="n">
        <v>7</v>
      </c>
      <c r="D9" s="22" t="n">
        <v>0.875</v>
      </c>
      <c r="E9" s="23" t="n">
        <v>39.1</v>
      </c>
      <c r="F9" s="22" t="n">
        <v>0.875</v>
      </c>
      <c r="G9" s="22" t="n">
        <v>0.5</v>
      </c>
      <c r="H9" s="22" t="n">
        <v>0</v>
      </c>
    </row>
    <row r="10" ht="22" customHeight="1">
      <c r="A10" s="24" t="inlineStr">
        <is>
          <t>Canan Öztürk</t>
        </is>
      </c>
      <c r="B10" s="25" t="n">
        <v>7</v>
      </c>
      <c r="C10" s="25" t="n">
        <v>6</v>
      </c>
      <c r="D10" s="26" t="n">
        <v>0.857</v>
      </c>
      <c r="E10" s="27" t="n">
        <v>29.3</v>
      </c>
      <c r="F10" s="26" t="n">
        <v>0.7140000000000001</v>
      </c>
      <c r="G10" s="26" t="n">
        <v>0.7140000000000001</v>
      </c>
      <c r="H10" s="26" t="n">
        <v>0</v>
      </c>
    </row>
    <row r="11" ht="22" customHeight="1">
      <c r="A11" s="20" t="inlineStr">
        <is>
          <t>Fatma Çelik</t>
        </is>
      </c>
      <c r="B11" s="21" t="n">
        <v>7</v>
      </c>
      <c r="C11" s="21" t="n">
        <v>5</v>
      </c>
      <c r="D11" s="22" t="n">
        <v>0.7140000000000001</v>
      </c>
      <c r="E11" s="23" t="n">
        <v>32.8</v>
      </c>
      <c r="F11" s="22" t="n">
        <v>0.429</v>
      </c>
      <c r="G11" s="22" t="n">
        <v>0.7140000000000001</v>
      </c>
      <c r="H11" s="22" t="n">
        <v>0.429</v>
      </c>
    </row>
    <row r="12" ht="22" customHeight="1">
      <c r="A12" s="24" t="inlineStr">
        <is>
          <t>Mehmet Kaya</t>
        </is>
      </c>
      <c r="B12" s="25" t="n">
        <v>4</v>
      </c>
      <c r="C12" s="25" t="n">
        <v>3</v>
      </c>
      <c r="D12" s="26" t="n">
        <v>0.75</v>
      </c>
      <c r="E12" s="27" t="n">
        <v>48.8</v>
      </c>
      <c r="F12" s="26" t="n">
        <v>0.5</v>
      </c>
      <c r="G12" s="26" t="n">
        <v>0.5</v>
      </c>
      <c r="H12" s="26" t="n">
        <v>0</v>
      </c>
    </row>
    <row r="13" ht="25" customHeight="1">
      <c r="A13" s="28" t="inlineStr">
        <is>
          <t>GENEL TOPLAM / ORTALAMA</t>
        </is>
      </c>
      <c r="B13" s="29">
        <f>SUM(B5:B12)</f>
        <v/>
      </c>
      <c r="C13" s="29">
        <f>SUM(C5:C12)</f>
        <v/>
      </c>
      <c r="D13" s="30">
        <f>AVERAGE(D5:D12)</f>
        <v/>
      </c>
      <c r="E13" s="31">
        <f>AVERAGE(E5:E12)</f>
        <v/>
      </c>
      <c r="F13" s="30">
        <f>AVERAGE(F5:F12)</f>
        <v/>
      </c>
      <c r="G13" s="30">
        <f>AVERAGE(G5:G12)</f>
        <v/>
      </c>
      <c r="H13" s="30">
        <f>AVERAGE(H5:H12)</f>
        <v/>
      </c>
    </row>
  </sheetData>
  <mergeCells count="1"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14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20" customWidth="1" min="4" max="4"/>
    <col width="16" customWidth="1" min="5" max="5"/>
    <col width="18" customWidth="1" min="6" max="6"/>
  </cols>
  <sheetData>
    <row r="2" ht="35" customHeight="1">
      <c r="A2" s="18" t="inlineStr">
        <is>
          <t>EN ÇOK ÇAĞRI AÇAN İLK 10 KURUM VE KÖK NEDEN KIRILIMI</t>
        </is>
      </c>
    </row>
    <row r="4" ht="26" customHeight="1">
      <c r="A4" s="19" t="inlineStr">
        <is>
          <t>Kurum Adı</t>
        </is>
      </c>
      <c r="B4" s="19" t="inlineStr">
        <is>
          <t>Toplam Çağrı</t>
        </is>
      </c>
      <c r="C4" s="19" t="inlineStr">
        <is>
          <t>Hata / Arıza Sayısı</t>
        </is>
      </c>
      <c r="D4" s="19" t="inlineStr">
        <is>
          <t>Destek / Talep Sayısı</t>
        </is>
      </c>
      <c r="E4" s="19" t="inlineStr">
        <is>
          <t>Hata Oranı (%)</t>
        </is>
      </c>
      <c r="F4" s="19" t="inlineStr">
        <is>
          <t>Yoğunluk Durumu</t>
        </is>
      </c>
    </row>
    <row r="5" ht="22" customHeight="1">
      <c r="A5" s="20" t="inlineStr">
        <is>
          <t>Çevre, Şehircilik ve İklim Değişikliği Bakanlığı</t>
        </is>
      </c>
      <c r="B5" s="21" t="n">
        <v>8</v>
      </c>
      <c r="C5" s="21" t="n">
        <v>5</v>
      </c>
      <c r="D5" s="21" t="n">
        <v>3</v>
      </c>
      <c r="E5" s="22" t="n">
        <v>0.625</v>
      </c>
      <c r="F5" s="11" t="inlineStr">
        <is>
          <t>Yüksek Hata Payı</t>
        </is>
      </c>
    </row>
    <row r="6" ht="22" customHeight="1">
      <c r="A6" s="24" t="inlineStr">
        <is>
          <t>Gençlik ve Spor Bakanlığı</t>
        </is>
      </c>
      <c r="B6" s="25" t="n">
        <v>8</v>
      </c>
      <c r="C6" s="25" t="n">
        <v>4</v>
      </c>
      <c r="D6" s="25" t="n">
        <v>4</v>
      </c>
      <c r="E6" s="26" t="n">
        <v>0.5</v>
      </c>
      <c r="F6" s="11" t="inlineStr">
        <is>
          <t>Yüksek Hata Payı</t>
        </is>
      </c>
    </row>
    <row r="7" ht="22" customHeight="1">
      <c r="A7" s="20" t="inlineStr">
        <is>
          <t>Sanayi ve Teknoloji Bakanlığı</t>
        </is>
      </c>
      <c r="B7" s="21" t="n">
        <v>8</v>
      </c>
      <c r="C7" s="21" t="n">
        <v>3</v>
      </c>
      <c r="D7" s="21" t="n">
        <v>5</v>
      </c>
      <c r="E7" s="22" t="n">
        <v>0.375</v>
      </c>
      <c r="F7" s="13" t="inlineStr">
        <is>
          <t>Normal Destek Dağılımı</t>
        </is>
      </c>
    </row>
    <row r="8" ht="22" customHeight="1">
      <c r="A8" s="24" t="inlineStr">
        <is>
          <t>İçişleri Bakanlığı</t>
        </is>
      </c>
      <c r="B8" s="25" t="n">
        <v>8</v>
      </c>
      <c r="C8" s="25" t="n">
        <v>6</v>
      </c>
      <c r="D8" s="25" t="n">
        <v>2</v>
      </c>
      <c r="E8" s="26" t="n">
        <v>0.75</v>
      </c>
      <c r="F8" s="11" t="inlineStr">
        <is>
          <t>Yüksek Hata Payı</t>
        </is>
      </c>
    </row>
    <row r="9" ht="22" customHeight="1">
      <c r="A9" s="20" t="inlineStr">
        <is>
          <t>Adalet Bakanlığı</t>
        </is>
      </c>
      <c r="B9" s="21" t="n">
        <v>6</v>
      </c>
      <c r="C9" s="21" t="n">
        <v>3</v>
      </c>
      <c r="D9" s="21" t="n">
        <v>3</v>
      </c>
      <c r="E9" s="22" t="n">
        <v>0.5</v>
      </c>
      <c r="F9" s="11" t="inlineStr">
        <is>
          <t>Yüksek Hata Payı</t>
        </is>
      </c>
    </row>
    <row r="10" ht="22" customHeight="1">
      <c r="A10" s="24" t="inlineStr">
        <is>
          <t>Tarım ve Orman Bakanlığı</t>
        </is>
      </c>
      <c r="B10" s="25" t="n">
        <v>5</v>
      </c>
      <c r="C10" s="25" t="n">
        <v>4</v>
      </c>
      <c r="D10" s="25" t="n">
        <v>1</v>
      </c>
      <c r="E10" s="26" t="n">
        <v>0.8</v>
      </c>
      <c r="F10" s="11" t="inlineStr">
        <is>
          <t>Yüksek Hata Payı</t>
        </is>
      </c>
    </row>
    <row r="11" ht="22" customHeight="1">
      <c r="A11" s="20" t="inlineStr">
        <is>
          <t>Milli Eğitim Bakanlığı</t>
        </is>
      </c>
      <c r="B11" s="21" t="n">
        <v>5</v>
      </c>
      <c r="C11" s="21" t="n">
        <v>3</v>
      </c>
      <c r="D11" s="21" t="n">
        <v>2</v>
      </c>
      <c r="E11" s="22" t="n">
        <v>0.6</v>
      </c>
      <c r="F11" s="11" t="inlineStr">
        <is>
          <t>Yüksek Hata Payı</t>
        </is>
      </c>
    </row>
    <row r="12" ht="22" customHeight="1">
      <c r="A12" s="24" t="inlineStr">
        <is>
          <t>Hazine ve Maliye Bakanlığı</t>
        </is>
      </c>
      <c r="B12" s="25" t="n">
        <v>5</v>
      </c>
      <c r="C12" s="25" t="n">
        <v>3</v>
      </c>
      <c r="D12" s="25" t="n">
        <v>2</v>
      </c>
      <c r="E12" s="26" t="n">
        <v>0.6</v>
      </c>
      <c r="F12" s="11" t="inlineStr">
        <is>
          <t>Yüksek Hata Payı</t>
        </is>
      </c>
    </row>
    <row r="13" ht="22" customHeight="1">
      <c r="A13" s="20" t="inlineStr">
        <is>
          <t>Gelir İdaresi Başkanlığı</t>
        </is>
      </c>
      <c r="B13" s="21" t="n">
        <v>4</v>
      </c>
      <c r="C13" s="21" t="n">
        <v>2</v>
      </c>
      <c r="D13" s="21" t="n">
        <v>2</v>
      </c>
      <c r="E13" s="22" t="n">
        <v>0.5</v>
      </c>
      <c r="F13" s="11" t="inlineStr">
        <is>
          <t>Yüksek Hata Payı</t>
        </is>
      </c>
    </row>
    <row r="14" ht="22" customHeight="1">
      <c r="A14" s="24" t="inlineStr">
        <is>
          <t>Ulaştırma ve Altyapı Bakanlığı</t>
        </is>
      </c>
      <c r="B14" s="25" t="n">
        <v>4</v>
      </c>
      <c r="C14" s="25" t="n">
        <v>2</v>
      </c>
      <c r="D14" s="25" t="n">
        <v>2</v>
      </c>
      <c r="E14" s="26" t="n">
        <v>0.5</v>
      </c>
      <c r="F14" s="11" t="inlineStr">
        <is>
          <t>Yüksek Hata Payı</t>
        </is>
      </c>
    </row>
  </sheetData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8" customWidth="1" min="3" max="3"/>
    <col width="24" customWidth="1" min="4" max="4"/>
    <col width="14" customWidth="1" min="5" max="5"/>
    <col width="14" customWidth="1" min="6" max="6"/>
    <col width="14" customWidth="1" min="7" max="7"/>
    <col width="22" customWidth="1" min="8" max="8"/>
    <col width="18" customWidth="1" min="9" max="9"/>
    <col width="18" customWidth="1" min="10" max="10"/>
    <col width="14" customWidth="1" min="11" max="11"/>
    <col width="14" customWidth="1" min="12" max="12"/>
    <col width="16" customWidth="1" min="13" max="13"/>
    <col width="12" customWidth="1" min="14" max="14"/>
    <col width="12" customWidth="1" min="15" max="15"/>
    <col width="10" customWidth="1" min="16" max="16"/>
    <col width="14" customWidth="1" min="17" max="17"/>
  </cols>
  <sheetData>
    <row r="1" ht="28" customHeight="1">
      <c r="A1" s="32" t="inlineStr">
        <is>
          <t>Çağrı No</t>
        </is>
      </c>
      <c r="B1" s="32" t="inlineStr">
        <is>
          <t>Başlık</t>
        </is>
      </c>
      <c r="C1" s="32" t="inlineStr">
        <is>
          <t>Kurum</t>
        </is>
      </c>
      <c r="D1" s="32" t="inlineStr">
        <is>
          <t>Kategori</t>
        </is>
      </c>
      <c r="E1" s="32" t="inlineStr">
        <is>
          <t>Kök Neden</t>
        </is>
      </c>
      <c r="F1" s="32" t="inlineStr">
        <is>
          <t>Öncelik</t>
        </is>
      </c>
      <c r="G1" s="32" t="inlineStr">
        <is>
          <t>Durum</t>
        </is>
      </c>
      <c r="H1" s="32" t="inlineStr">
        <is>
          <t>Teknisyen</t>
        </is>
      </c>
      <c r="I1" s="32" t="inlineStr">
        <is>
          <t>Oluşturulma</t>
        </is>
      </c>
      <c r="J1" s="32" t="inlineStr">
        <is>
          <t>Çözülme</t>
        </is>
      </c>
      <c r="K1" s="32" t="inlineStr">
        <is>
          <t>İlk Yanıt (Dk)</t>
        </is>
      </c>
      <c r="L1" s="32" t="inlineStr">
        <is>
          <t>Net Efor (Saat)</t>
        </is>
      </c>
      <c r="M1" s="32" t="inlineStr">
        <is>
          <t>Dış Bekleme (Saat)</t>
        </is>
      </c>
      <c r="N1" s="32" t="inlineStr">
        <is>
          <t>MTTA SLA</t>
        </is>
      </c>
      <c r="O1" s="32" t="inlineStr">
        <is>
          <t>MTTR SLA</t>
        </is>
      </c>
      <c r="P1" s="32" t="inlineStr">
        <is>
          <t>FCR</t>
        </is>
      </c>
      <c r="Q1" s="32" t="inlineStr">
        <is>
          <t>Yeniden Açıldı</t>
        </is>
      </c>
    </row>
    <row r="2" ht="20" customHeight="1">
      <c r="A2" s="33" t="n">
        <v>10003</v>
      </c>
      <c r="B2" s="34" t="inlineStr">
        <is>
          <t>Çevre, Şehircilik ve İklim Değişikliği Bakanlığı - Belge Akışı / Onay Süreci #3</t>
        </is>
      </c>
      <c r="C2" s="34" t="inlineStr">
        <is>
          <t>Çevre, Şehircilik ve İklim Değişikliği Bakanlığı</t>
        </is>
      </c>
      <c r="D2" s="34" t="inlineStr">
        <is>
          <t>Belge Akışı / Onay Süreci</t>
        </is>
      </c>
      <c r="E2" s="33" t="inlineStr">
        <is>
          <t>Destek</t>
        </is>
      </c>
      <c r="F2" s="33" t="inlineStr">
        <is>
          <t>Çok Yüksek</t>
        </is>
      </c>
      <c r="G2" s="33" t="inlineStr">
        <is>
          <t>Çözüldü</t>
        </is>
      </c>
      <c r="H2" s="34" t="inlineStr">
        <is>
          <t>Mehmet Kaya</t>
        </is>
      </c>
      <c r="I2" s="33" t="inlineStr">
        <is>
          <t>2026-09-09 06:37:14</t>
        </is>
      </c>
      <c r="J2" s="33" t="inlineStr">
        <is>
          <t>2026-09-11 22:31:14</t>
        </is>
      </c>
      <c r="K2" s="27" t="n">
        <v>45</v>
      </c>
      <c r="L2" s="27" t="n">
        <v>63.9</v>
      </c>
      <c r="M2" s="27" t="n">
        <v>0</v>
      </c>
      <c r="N2" s="33" t="inlineStr">
        <is>
          <t>Hayır</t>
        </is>
      </c>
      <c r="O2" s="33" t="inlineStr">
        <is>
          <t>Hayır</t>
        </is>
      </c>
      <c r="P2" s="33" t="inlineStr">
        <is>
          <t>Evet</t>
        </is>
      </c>
      <c r="Q2" s="33" t="inlineStr">
        <is>
          <t>Hayır</t>
        </is>
      </c>
    </row>
    <row r="3" ht="20" customHeight="1">
      <c r="A3" s="35" t="n">
        <v>10006</v>
      </c>
      <c r="B3" s="36" t="inlineStr">
        <is>
          <t>Tarım ve Orman Bakanlığı - Kep / DYS İletişim Hatası #6</t>
        </is>
      </c>
      <c r="C3" s="36" t="inlineStr">
        <is>
          <t>Tarım ve Orman Bakanlığı</t>
        </is>
      </c>
      <c r="D3" s="36" t="inlineStr">
        <is>
          <t>Kep / DYS İletişim Hatası</t>
        </is>
      </c>
      <c r="E3" s="35" t="inlineStr">
        <is>
          <t>Hata</t>
        </is>
      </c>
      <c r="F3" s="35" t="inlineStr">
        <is>
          <t>Yüksek</t>
        </is>
      </c>
      <c r="G3" s="35" t="inlineStr">
        <is>
          <t>Çözüldü</t>
        </is>
      </c>
      <c r="H3" s="36" t="inlineStr">
        <is>
          <t>Fatma Çelik</t>
        </is>
      </c>
      <c r="I3" s="35" t="inlineStr">
        <is>
          <t>2026-09-08 17:41:32</t>
        </is>
      </c>
      <c r="J3" s="35" t="inlineStr">
        <is>
          <t>2026-09-11 09:17:32</t>
        </is>
      </c>
      <c r="K3" s="23" t="n">
        <v>45</v>
      </c>
      <c r="L3" s="23" t="n">
        <v>63.6</v>
      </c>
      <c r="M3" s="23" t="n">
        <v>0</v>
      </c>
      <c r="N3" s="35" t="inlineStr">
        <is>
          <t>Hayır</t>
        </is>
      </c>
      <c r="O3" s="35" t="inlineStr">
        <is>
          <t>Hayır</t>
        </is>
      </c>
      <c r="P3" s="35" t="inlineStr">
        <is>
          <t>Hayır</t>
        </is>
      </c>
      <c r="Q3" s="35" t="inlineStr">
        <is>
          <t>Evet</t>
        </is>
      </c>
    </row>
    <row r="4" ht="20" customHeight="1">
      <c r="A4" s="33" t="n">
        <v>10009</v>
      </c>
      <c r="B4" s="34" t="inlineStr">
        <is>
          <t>Gençlik ve Spor Bakanlığı - Kep / DYS İletişim Hatası #9</t>
        </is>
      </c>
      <c r="C4" s="34" t="inlineStr">
        <is>
          <t>Gençlik ve Spor Bakanlığı</t>
        </is>
      </c>
      <c r="D4" s="34" t="inlineStr">
        <is>
          <t>Kep / DYS İletişim Hatası</t>
        </is>
      </c>
      <c r="E4" s="33" t="inlineStr">
        <is>
          <t>Hata</t>
        </is>
      </c>
      <c r="F4" s="33" t="inlineStr">
        <is>
          <t>Düşük</t>
        </is>
      </c>
      <c r="G4" s="33" t="inlineStr">
        <is>
          <t>Kapandı</t>
        </is>
      </c>
      <c r="H4" s="34" t="inlineStr">
        <is>
          <t>Mehmet Kaya</t>
        </is>
      </c>
      <c r="I4" s="33" t="inlineStr">
        <is>
          <t>2026-09-13 00:05:06</t>
        </is>
      </c>
      <c r="J4" s="33" t="inlineStr">
        <is>
          <t>2026-09-14 06:17:06</t>
        </is>
      </c>
      <c r="K4" s="27" t="n">
        <v>40</v>
      </c>
      <c r="L4" s="27" t="n">
        <v>30.2</v>
      </c>
      <c r="M4" s="27" t="n">
        <v>0</v>
      </c>
      <c r="N4" s="33" t="inlineStr">
        <is>
          <t>Evet</t>
        </is>
      </c>
      <c r="O4" s="33" t="inlineStr">
        <is>
          <t>Evet</t>
        </is>
      </c>
      <c r="P4" s="33" t="inlineStr">
        <is>
          <t>Evet</t>
        </is>
      </c>
      <c r="Q4" s="33" t="inlineStr">
        <is>
          <t>Hayır</t>
        </is>
      </c>
    </row>
    <row r="5" ht="20" customHeight="1">
      <c r="A5" s="35" t="n">
        <v>10015</v>
      </c>
      <c r="B5" s="36" t="inlineStr">
        <is>
          <t>Milli Eğitim Bakanlığı - E-İmza / Mobil İmza Sorunu #15</t>
        </is>
      </c>
      <c r="C5" s="36" t="inlineStr">
        <is>
          <t>Milli Eğitim Bakanlığı</t>
        </is>
      </c>
      <c r="D5" s="36" t="inlineStr">
        <is>
          <t>E-İmza / Mobil İmza Sorunu</t>
        </is>
      </c>
      <c r="E5" s="35" t="inlineStr">
        <is>
          <t>Hata</t>
        </is>
      </c>
      <c r="F5" s="35" t="inlineStr">
        <is>
          <t>Orta</t>
        </is>
      </c>
      <c r="G5" s="35" t="inlineStr">
        <is>
          <t>Çözüldü</t>
        </is>
      </c>
      <c r="H5" s="36" t="inlineStr">
        <is>
          <t>Ahmet Yılmaz</t>
        </is>
      </c>
      <c r="I5" s="35" t="inlineStr">
        <is>
          <t>2026-09-13 21:37:07</t>
        </is>
      </c>
      <c r="J5" s="35" t="inlineStr">
        <is>
          <t>2026-09-14 05:01:07</t>
        </is>
      </c>
      <c r="K5" s="23" t="n">
        <v>55</v>
      </c>
      <c r="L5" s="23" t="n">
        <v>5</v>
      </c>
      <c r="M5" s="23" t="n">
        <v>2.4</v>
      </c>
      <c r="N5" s="35" t="inlineStr">
        <is>
          <t>Evet</t>
        </is>
      </c>
      <c r="O5" s="35" t="inlineStr">
        <is>
          <t>Evet</t>
        </is>
      </c>
      <c r="P5" s="35" t="inlineStr">
        <is>
          <t>Evet</t>
        </is>
      </c>
      <c r="Q5" s="35" t="inlineStr">
        <is>
          <t>Hayır</t>
        </is>
      </c>
    </row>
    <row r="6" ht="20" customHeight="1">
      <c r="A6" s="33" t="n">
        <v>10025</v>
      </c>
      <c r="B6" s="34" t="inlineStr">
        <is>
          <t>SGK Başkanlığı - PDF / TIFF Görüntüleme Hatası #25</t>
        </is>
      </c>
      <c r="C6" s="34" t="inlineStr">
        <is>
          <t>SGK Başkanlığı</t>
        </is>
      </c>
      <c r="D6" s="34" t="inlineStr">
        <is>
          <t>PDF / TIFF Görüntüleme Hatası</t>
        </is>
      </c>
      <c r="E6" s="33" t="inlineStr">
        <is>
          <t>Hata</t>
        </is>
      </c>
      <c r="F6" s="33" t="inlineStr">
        <is>
          <t>Yüksek</t>
        </is>
      </c>
      <c r="G6" s="33" t="inlineStr">
        <is>
          <t>Kapandı</t>
        </is>
      </c>
      <c r="H6" s="34" t="inlineStr">
        <is>
          <t>Ahmet Yılmaz</t>
        </is>
      </c>
      <c r="I6" s="33" t="inlineStr">
        <is>
          <t>2026-09-09 04:44:55</t>
        </is>
      </c>
      <c r="J6" s="33" t="inlineStr">
        <is>
          <t>2026-09-12 02:50:55</t>
        </is>
      </c>
      <c r="K6" s="27" t="n">
        <v>32</v>
      </c>
      <c r="L6" s="27" t="n">
        <v>43.59999999999999</v>
      </c>
      <c r="M6" s="27" t="n">
        <v>26.5</v>
      </c>
      <c r="N6" s="33" t="inlineStr">
        <is>
          <t>Hayır</t>
        </is>
      </c>
      <c r="O6" s="33" t="inlineStr">
        <is>
          <t>Hayır</t>
        </is>
      </c>
      <c r="P6" s="33" t="inlineStr">
        <is>
          <t>Evet</t>
        </is>
      </c>
      <c r="Q6" s="33" t="inlineStr">
        <is>
          <t>Hayır</t>
        </is>
      </c>
    </row>
    <row r="7" ht="20" customHeight="1">
      <c r="A7" s="35" t="n">
        <v>10036</v>
      </c>
      <c r="B7" s="36" t="inlineStr">
        <is>
          <t>Hazine ve Maliye Bakanlığı - Kep / DYS İletişim Hatası #36</t>
        </is>
      </c>
      <c r="C7" s="36" t="inlineStr">
        <is>
          <t>Hazine ve Maliye Bakanlığı</t>
        </is>
      </c>
      <c r="D7" s="36" t="inlineStr">
        <is>
          <t>Kep / DYS İletişim Hatası</t>
        </is>
      </c>
      <c r="E7" s="35" t="inlineStr">
        <is>
          <t>Hata</t>
        </is>
      </c>
      <c r="F7" s="35" t="inlineStr">
        <is>
          <t>Yüksek</t>
        </is>
      </c>
      <c r="G7" s="35" t="inlineStr">
        <is>
          <t>Çözüldü</t>
        </is>
      </c>
      <c r="H7" s="36" t="inlineStr">
        <is>
          <t>Emre Koç</t>
        </is>
      </c>
      <c r="I7" s="35" t="inlineStr">
        <is>
          <t>2026-09-10 08:05:37</t>
        </is>
      </c>
      <c r="J7" s="35" t="inlineStr">
        <is>
          <t>2026-09-12 02:47:37</t>
        </is>
      </c>
      <c r="K7" s="23" t="n">
        <v>32</v>
      </c>
      <c r="L7" s="23" t="n">
        <v>22.5</v>
      </c>
      <c r="M7" s="23" t="n">
        <v>20.2</v>
      </c>
      <c r="N7" s="35" t="inlineStr">
        <is>
          <t>Hayır</t>
        </is>
      </c>
      <c r="O7" s="35" t="inlineStr">
        <is>
          <t>Evet</t>
        </is>
      </c>
      <c r="P7" s="35" t="inlineStr">
        <is>
          <t>Evet</t>
        </is>
      </c>
      <c r="Q7" s="35" t="inlineStr">
        <is>
          <t>Hayır</t>
        </is>
      </c>
    </row>
    <row r="8" ht="20" customHeight="1">
      <c r="A8" s="33" t="n">
        <v>10037</v>
      </c>
      <c r="B8" s="34" t="inlineStr">
        <is>
          <t>Tarım ve Orman Bakanlığı - E-İmza / Mobil İmza Sorunu #37</t>
        </is>
      </c>
      <c r="C8" s="34" t="inlineStr">
        <is>
          <t>Tarım ve Orman Bakanlığı</t>
        </is>
      </c>
      <c r="D8" s="34" t="inlineStr">
        <is>
          <t>E-İmza / Mobil İmza Sorunu</t>
        </is>
      </c>
      <c r="E8" s="33" t="inlineStr">
        <is>
          <t>Hata</t>
        </is>
      </c>
      <c r="F8" s="33" t="inlineStr">
        <is>
          <t>Orta</t>
        </is>
      </c>
      <c r="G8" s="33" t="inlineStr">
        <is>
          <t>Çözüldü</t>
        </is>
      </c>
      <c r="H8" s="34" t="inlineStr">
        <is>
          <t>Canan Öztürk</t>
        </is>
      </c>
      <c r="I8" s="33" t="inlineStr">
        <is>
          <t>2026-09-08 15:18:27</t>
        </is>
      </c>
      <c r="J8" s="33" t="inlineStr">
        <is>
          <t>2026-09-10 01:00:27</t>
        </is>
      </c>
      <c r="K8" s="27" t="n">
        <v>55</v>
      </c>
      <c r="L8" s="27" t="n">
        <v>33.7</v>
      </c>
      <c r="M8" s="27" t="n">
        <v>0</v>
      </c>
      <c r="N8" s="33" t="inlineStr">
        <is>
          <t>Evet</t>
        </is>
      </c>
      <c r="O8" s="33" t="inlineStr">
        <is>
          <t>Evet</t>
        </is>
      </c>
      <c r="P8" s="33" t="inlineStr">
        <is>
          <t>Evet</t>
        </is>
      </c>
      <c r="Q8" s="33" t="inlineStr">
        <is>
          <t>Hayır</t>
        </is>
      </c>
    </row>
    <row r="9" ht="20" customHeight="1">
      <c r="A9" s="35" t="n">
        <v>10060</v>
      </c>
      <c r="B9" s="36" t="inlineStr">
        <is>
          <t>Tarım ve Orman Bakanlığı - Kullanıcı Yetkilendirme Talebi #60</t>
        </is>
      </c>
      <c r="C9" s="36" t="inlineStr">
        <is>
          <t>Tarım ve Orman Bakanlığı</t>
        </is>
      </c>
      <c r="D9" s="36" t="inlineStr">
        <is>
          <t>Kullanıcı Yetkilendirme Talebi</t>
        </is>
      </c>
      <c r="E9" s="35" t="inlineStr">
        <is>
          <t>Destek</t>
        </is>
      </c>
      <c r="F9" s="35" t="inlineStr">
        <is>
          <t>Düşük</t>
        </is>
      </c>
      <c r="G9" s="35" t="inlineStr">
        <is>
          <t>Çözüldü</t>
        </is>
      </c>
      <c r="H9" s="36" t="inlineStr">
        <is>
          <t>Ahmet Yılmaz</t>
        </is>
      </c>
      <c r="I9" s="35" t="inlineStr">
        <is>
          <t>2026-09-11 03:59:24</t>
        </is>
      </c>
      <c r="J9" s="35" t="inlineStr">
        <is>
          <t>2026-09-12 02:23:24</t>
        </is>
      </c>
      <c r="K9" s="23" t="n">
        <v>45</v>
      </c>
      <c r="L9" s="23" t="n">
        <v>22.4</v>
      </c>
      <c r="M9" s="23" t="n">
        <v>0</v>
      </c>
      <c r="N9" s="35" t="inlineStr">
        <is>
          <t>Evet</t>
        </is>
      </c>
      <c r="O9" s="35" t="inlineStr">
        <is>
          <t>Evet</t>
        </is>
      </c>
      <c r="P9" s="35" t="inlineStr">
        <is>
          <t>Evet</t>
        </is>
      </c>
      <c r="Q9" s="35" t="inlineStr">
        <is>
          <t>Hayır</t>
        </is>
      </c>
    </row>
    <row r="10" ht="20" customHeight="1">
      <c r="A10" s="33" t="n">
        <v>10061</v>
      </c>
      <c r="B10" s="34" t="inlineStr">
        <is>
          <t>Gençlik ve Spor Bakanlığı - E-İmza / Mobil İmza Sorunu #61</t>
        </is>
      </c>
      <c r="C10" s="34" t="inlineStr">
        <is>
          <t>Gençlik ve Spor Bakanlığı</t>
        </is>
      </c>
      <c r="D10" s="34" t="inlineStr">
        <is>
          <t>E-İmza / Mobil İmza Sorunu</t>
        </is>
      </c>
      <c r="E10" s="33" t="inlineStr">
        <is>
          <t>Hata</t>
        </is>
      </c>
      <c r="F10" s="33" t="inlineStr">
        <is>
          <t>Yüksek</t>
        </is>
      </c>
      <c r="G10" s="33" t="inlineStr">
        <is>
          <t>Çözüldü</t>
        </is>
      </c>
      <c r="H10" s="34" t="inlineStr">
        <is>
          <t>Canan Öztürk</t>
        </is>
      </c>
      <c r="I10" s="33" t="inlineStr">
        <is>
          <t>2026-09-10 06:43:41</t>
        </is>
      </c>
      <c r="J10" s="33" t="inlineStr">
        <is>
          <t>2026-09-11 19:55:41</t>
        </is>
      </c>
      <c r="K10" s="27" t="n">
        <v>20</v>
      </c>
      <c r="L10" s="27" t="n">
        <v>12</v>
      </c>
      <c r="M10" s="27" t="n">
        <v>25.2</v>
      </c>
      <c r="N10" s="33" t="inlineStr">
        <is>
          <t>Evet</t>
        </is>
      </c>
      <c r="O10" s="33" t="inlineStr">
        <is>
          <t>Evet</t>
        </is>
      </c>
      <c r="P10" s="33" t="inlineStr">
        <is>
          <t>Evet</t>
        </is>
      </c>
      <c r="Q10" s="33" t="inlineStr">
        <is>
          <t>Hayır</t>
        </is>
      </c>
    </row>
    <row r="11" ht="20" customHeight="1">
      <c r="A11" s="35" t="n">
        <v>10062</v>
      </c>
      <c r="B11" s="36" t="inlineStr">
        <is>
          <t>SGK Başkanlığı - PDF / TIFF Görüntüleme Hatası #62</t>
        </is>
      </c>
      <c r="C11" s="36" t="inlineStr">
        <is>
          <t>SGK Başkanlığı</t>
        </is>
      </c>
      <c r="D11" s="36" t="inlineStr">
        <is>
          <t>PDF / TIFF Görüntüleme Hatası</t>
        </is>
      </c>
      <c r="E11" s="35" t="inlineStr">
        <is>
          <t>Hata</t>
        </is>
      </c>
      <c r="F11" s="35" t="inlineStr">
        <is>
          <t>Düşük</t>
        </is>
      </c>
      <c r="G11" s="35" t="inlineStr">
        <is>
          <t>Çözüldü</t>
        </is>
      </c>
      <c r="H11" s="36" t="inlineStr">
        <is>
          <t>Ahmet Yılmaz</t>
        </is>
      </c>
      <c r="I11" s="35" t="inlineStr">
        <is>
          <t>2026-09-10 16:47:39</t>
        </is>
      </c>
      <c r="J11" s="35" t="inlineStr">
        <is>
          <t>2026-09-11 06:05:39</t>
        </is>
      </c>
      <c r="K11" s="23" t="n">
        <v>45</v>
      </c>
      <c r="L11" s="23" t="n">
        <v>13.3</v>
      </c>
      <c r="M11" s="23" t="n">
        <v>0</v>
      </c>
      <c r="N11" s="35" t="inlineStr">
        <is>
          <t>Evet</t>
        </is>
      </c>
      <c r="O11" s="35" t="inlineStr">
        <is>
          <t>Evet</t>
        </is>
      </c>
      <c r="P11" s="35" t="inlineStr">
        <is>
          <t>Evet</t>
        </is>
      </c>
      <c r="Q11" s="35" t="inlineStr">
        <is>
          <t>Hayır</t>
        </is>
      </c>
    </row>
    <row r="12" ht="20" customHeight="1">
      <c r="A12" s="33" t="n">
        <v>10063</v>
      </c>
      <c r="B12" s="34" t="inlineStr">
        <is>
          <t>İçişleri Bakanlığı - PDF / TIFF Görüntüleme Hatası #63</t>
        </is>
      </c>
      <c r="C12" s="34" t="inlineStr">
        <is>
          <t>İçişleri Bakanlığı</t>
        </is>
      </c>
      <c r="D12" s="34" t="inlineStr">
        <is>
          <t>PDF / TIFF Görüntüleme Hatası</t>
        </is>
      </c>
      <c r="E12" s="33" t="inlineStr">
        <is>
          <t>Hata</t>
        </is>
      </c>
      <c r="F12" s="33" t="inlineStr">
        <is>
          <t>Yüksek</t>
        </is>
      </c>
      <c r="G12" s="33" t="inlineStr">
        <is>
          <t>Kapandı</t>
        </is>
      </c>
      <c r="H12" s="34" t="inlineStr">
        <is>
          <t>Emre Koç</t>
        </is>
      </c>
      <c r="I12" s="33" t="inlineStr">
        <is>
          <t>2026-09-10 13:11:27</t>
        </is>
      </c>
      <c r="J12" s="33" t="inlineStr">
        <is>
          <t>2026-09-13 09:35:27</t>
        </is>
      </c>
      <c r="K12" s="27" t="n">
        <v>20</v>
      </c>
      <c r="L12" s="27" t="n">
        <v>50.3</v>
      </c>
      <c r="M12" s="27" t="n">
        <v>18.1</v>
      </c>
      <c r="N12" s="33" t="inlineStr">
        <is>
          <t>Evet</t>
        </is>
      </c>
      <c r="O12" s="33" t="inlineStr">
        <is>
          <t>Hayır</t>
        </is>
      </c>
      <c r="P12" s="33" t="inlineStr">
        <is>
          <t>Evet</t>
        </is>
      </c>
      <c r="Q12" s="33" t="inlineStr">
        <is>
          <t>Hayır</t>
        </is>
      </c>
    </row>
    <row r="13" ht="20" customHeight="1">
      <c r="A13" s="35" t="n">
        <v>10064</v>
      </c>
      <c r="B13" s="36" t="inlineStr">
        <is>
          <t>SGK Başkanlığı - Entegrasyon / Servis Kesintisi #64</t>
        </is>
      </c>
      <c r="C13" s="36" t="inlineStr">
        <is>
          <t>SGK Başkanlığı</t>
        </is>
      </c>
      <c r="D13" s="36" t="inlineStr">
        <is>
          <t>Entegrasyon / Servis Kesintisi</t>
        </is>
      </c>
      <c r="E13" s="35" t="inlineStr">
        <is>
          <t>Hata</t>
        </is>
      </c>
      <c r="F13" s="35" t="inlineStr">
        <is>
          <t>Çok Yüksek</t>
        </is>
      </c>
      <c r="G13" s="35" t="inlineStr">
        <is>
          <t>Çözüldü</t>
        </is>
      </c>
      <c r="H13" s="36" t="inlineStr">
        <is>
          <t>Fatma Çelik</t>
        </is>
      </c>
      <c r="I13" s="35" t="inlineStr">
        <is>
          <t>2026-09-12 13:15:30</t>
        </is>
      </c>
      <c r="J13" s="35" t="inlineStr">
        <is>
          <t>2026-09-14 15:39:30</t>
        </is>
      </c>
      <c r="K13" s="23" t="n">
        <v>32</v>
      </c>
      <c r="L13" s="23" t="n">
        <v>44.4</v>
      </c>
      <c r="M13" s="23" t="n">
        <v>6</v>
      </c>
      <c r="N13" s="35" t="inlineStr">
        <is>
          <t>Hayır</t>
        </is>
      </c>
      <c r="O13" s="35" t="inlineStr">
        <is>
          <t>Hayır</t>
        </is>
      </c>
      <c r="P13" s="35" t="inlineStr">
        <is>
          <t>Hayır</t>
        </is>
      </c>
      <c r="Q13" s="35" t="inlineStr">
        <is>
          <t>Evet</t>
        </is>
      </c>
    </row>
    <row r="14" ht="20" customHeight="1">
      <c r="A14" s="33" t="n">
        <v>10072</v>
      </c>
      <c r="B14" s="34" t="inlineStr">
        <is>
          <t>Ulaştırma ve Altyapı Bakanlığı - Şablon / Form Düzenleme #72</t>
        </is>
      </c>
      <c r="C14" s="34" t="inlineStr">
        <is>
          <t>Ulaştırma ve Altyapı Bakanlığı</t>
        </is>
      </c>
      <c r="D14" s="34" t="inlineStr">
        <is>
          <t>Şablon / Form Düzenleme</t>
        </is>
      </c>
      <c r="E14" s="33" t="inlineStr">
        <is>
          <t>Destek</t>
        </is>
      </c>
      <c r="F14" s="33" t="inlineStr">
        <is>
          <t>Orta</t>
        </is>
      </c>
      <c r="G14" s="33" t="inlineStr">
        <is>
          <t>Çözüldü</t>
        </is>
      </c>
      <c r="H14" s="34" t="inlineStr">
        <is>
          <t>Zeynep Yıldız</t>
        </is>
      </c>
      <c r="I14" s="33" t="inlineStr">
        <is>
          <t>2026-09-12 20:22:25</t>
        </is>
      </c>
      <c r="J14" s="33" t="inlineStr">
        <is>
          <t>2026-09-13 00:58:25</t>
        </is>
      </c>
      <c r="K14" s="27" t="n">
        <v>35</v>
      </c>
      <c r="L14" s="27" t="n">
        <v>4.6</v>
      </c>
      <c r="M14" s="27" t="n">
        <v>0</v>
      </c>
      <c r="N14" s="33" t="inlineStr">
        <is>
          <t>Evet</t>
        </is>
      </c>
      <c r="O14" s="33" t="inlineStr">
        <is>
          <t>Evet</t>
        </is>
      </c>
      <c r="P14" s="33" t="inlineStr">
        <is>
          <t>Evet</t>
        </is>
      </c>
      <c r="Q14" s="33" t="inlineStr">
        <is>
          <t>Hayır</t>
        </is>
      </c>
    </row>
    <row r="15" ht="20" customHeight="1">
      <c r="A15" s="35" t="n">
        <v>10075</v>
      </c>
      <c r="B15" s="36" t="inlineStr">
        <is>
          <t>Sanayi ve Teknoloji Bakanlığı - Veritabanı Senkronizasyon Hatası #75</t>
        </is>
      </c>
      <c r="C15" s="36" t="inlineStr">
        <is>
          <t>Sanayi ve Teknoloji Bakanlığı</t>
        </is>
      </c>
      <c r="D15" s="36" t="inlineStr">
        <is>
          <t>Veritabanı Senkronizasyon Hatası</t>
        </is>
      </c>
      <c r="E15" s="35" t="inlineStr">
        <is>
          <t>Hata</t>
        </is>
      </c>
      <c r="F15" s="35" t="inlineStr">
        <is>
          <t>Yüksek</t>
        </is>
      </c>
      <c r="G15" s="35" t="inlineStr">
        <is>
          <t>Kapandı</t>
        </is>
      </c>
      <c r="H15" s="36" t="inlineStr">
        <is>
          <t>Canan Öztürk</t>
        </is>
      </c>
      <c r="I15" s="35" t="inlineStr">
        <is>
          <t>2026-09-12 05:20:57</t>
        </is>
      </c>
      <c r="J15" s="35" t="inlineStr">
        <is>
          <t>2026-09-13 04:20:57</t>
        </is>
      </c>
      <c r="K15" s="23" t="n">
        <v>12</v>
      </c>
      <c r="L15" s="23" t="n">
        <v>13.1</v>
      </c>
      <c r="M15" s="23" t="n">
        <v>9.9</v>
      </c>
      <c r="N15" s="35" t="inlineStr">
        <is>
          <t>Evet</t>
        </is>
      </c>
      <c r="O15" s="35" t="inlineStr">
        <is>
          <t>Evet</t>
        </is>
      </c>
      <c r="P15" s="35" t="inlineStr">
        <is>
          <t>Evet</t>
        </is>
      </c>
      <c r="Q15" s="35" t="inlineStr">
        <is>
          <t>Hayır</t>
        </is>
      </c>
    </row>
    <row r="16" ht="20" customHeight="1">
      <c r="A16" s="33" t="n">
        <v>10076</v>
      </c>
      <c r="B16" s="34" t="inlineStr">
        <is>
          <t>Sanayi ve Teknoloji Bakanlığı - EBYS İstemci Kurulum Yardımı #76</t>
        </is>
      </c>
      <c r="C16" s="34" t="inlineStr">
        <is>
          <t>Sanayi ve Teknoloji Bakanlığı</t>
        </is>
      </c>
      <c r="D16" s="34" t="inlineStr">
        <is>
          <t>EBYS İstemci Kurulum Yardımı</t>
        </is>
      </c>
      <c r="E16" s="33" t="inlineStr">
        <is>
          <t>Destek</t>
        </is>
      </c>
      <c r="F16" s="33" t="inlineStr">
        <is>
          <t>Orta</t>
        </is>
      </c>
      <c r="G16" s="33" t="inlineStr">
        <is>
          <t>Çözüldü</t>
        </is>
      </c>
      <c r="H16" s="34" t="inlineStr">
        <is>
          <t>Emre Koç</t>
        </is>
      </c>
      <c r="I16" s="33" t="inlineStr">
        <is>
          <t>2026-09-09 12:18:14</t>
        </is>
      </c>
      <c r="J16" s="33" t="inlineStr">
        <is>
          <t>2026-09-12 10:24:14</t>
        </is>
      </c>
      <c r="K16" s="27" t="n">
        <v>50</v>
      </c>
      <c r="L16" s="27" t="n">
        <v>70.09999999999999</v>
      </c>
      <c r="M16" s="27" t="n">
        <v>0</v>
      </c>
      <c r="N16" s="33" t="inlineStr">
        <is>
          <t>Evet</t>
        </is>
      </c>
      <c r="O16" s="33" t="inlineStr">
        <is>
          <t>Hayır</t>
        </is>
      </c>
      <c r="P16" s="33" t="inlineStr">
        <is>
          <t>Evet</t>
        </is>
      </c>
      <c r="Q16" s="33" t="inlineStr">
        <is>
          <t>Hayır</t>
        </is>
      </c>
    </row>
    <row r="17" ht="20" customHeight="1">
      <c r="A17" s="35" t="n">
        <v>10082</v>
      </c>
      <c r="B17" s="36" t="inlineStr">
        <is>
          <t>Sağlık Bakanlığı - Kullanıcı Yetkilendirme Talebi #82</t>
        </is>
      </c>
      <c r="C17" s="36" t="inlineStr">
        <is>
          <t>Sağlık Bakanlığı</t>
        </is>
      </c>
      <c r="D17" s="36" t="inlineStr">
        <is>
          <t>Kullanıcı Yetkilendirme Talebi</t>
        </is>
      </c>
      <c r="E17" s="35" t="inlineStr">
        <is>
          <t>Destek</t>
        </is>
      </c>
      <c r="F17" s="35" t="inlineStr">
        <is>
          <t>Orta</t>
        </is>
      </c>
      <c r="G17" s="35" t="inlineStr">
        <is>
          <t>Çözüldü</t>
        </is>
      </c>
      <c r="H17" s="36" t="inlineStr">
        <is>
          <t>Ayşe Demir</t>
        </is>
      </c>
      <c r="I17" s="35" t="inlineStr">
        <is>
          <t>2026-09-09 14:48:07</t>
        </is>
      </c>
      <c r="J17" s="35" t="inlineStr">
        <is>
          <t>2026-09-11 13:30:07</t>
        </is>
      </c>
      <c r="K17" s="23" t="n">
        <v>35</v>
      </c>
      <c r="L17" s="23" t="n">
        <v>25.9</v>
      </c>
      <c r="M17" s="23" t="n">
        <v>20.8</v>
      </c>
      <c r="N17" s="35" t="inlineStr">
        <is>
          <t>Evet</t>
        </is>
      </c>
      <c r="O17" s="35" t="inlineStr">
        <is>
          <t>Evet</t>
        </is>
      </c>
      <c r="P17" s="35" t="inlineStr">
        <is>
          <t>Evet</t>
        </is>
      </c>
      <c r="Q17" s="35" t="inlineStr">
        <is>
          <t>Hayır</t>
        </is>
      </c>
    </row>
    <row r="18" ht="20" customHeight="1">
      <c r="A18" s="33" t="n">
        <v>10085</v>
      </c>
      <c r="B18" s="34" t="inlineStr">
        <is>
          <t>Gençlik ve Spor Bakanlığı - E-İmza / Mobil İmza Sorunu #85</t>
        </is>
      </c>
      <c r="C18" s="34" t="inlineStr">
        <is>
          <t>Gençlik ve Spor Bakanlığı</t>
        </is>
      </c>
      <c r="D18" s="34" t="inlineStr">
        <is>
          <t>E-İmza / Mobil İmza Sorunu</t>
        </is>
      </c>
      <c r="E18" s="33" t="inlineStr">
        <is>
          <t>Hata</t>
        </is>
      </c>
      <c r="F18" s="33" t="inlineStr">
        <is>
          <t>Yüksek</t>
        </is>
      </c>
      <c r="G18" s="33" t="inlineStr">
        <is>
          <t>Çözüldü</t>
        </is>
      </c>
      <c r="H18" s="34" t="inlineStr">
        <is>
          <t>Ahmet Yılmaz</t>
        </is>
      </c>
      <c r="I18" s="33" t="inlineStr">
        <is>
          <t>2026-09-13 20:52:16</t>
        </is>
      </c>
      <c r="J18" s="33" t="inlineStr">
        <is>
          <t>2026-09-14 17:23:04</t>
        </is>
      </c>
      <c r="K18" s="27" t="n">
        <v>20</v>
      </c>
      <c r="L18" s="27" t="n">
        <v>62.9</v>
      </c>
      <c r="M18" s="27" t="n">
        <v>0</v>
      </c>
      <c r="N18" s="33" t="inlineStr">
        <is>
          <t>Evet</t>
        </is>
      </c>
      <c r="O18" s="33" t="inlineStr">
        <is>
          <t>Hayır</t>
        </is>
      </c>
      <c r="P18" s="33" t="inlineStr">
        <is>
          <t>Evet</t>
        </is>
      </c>
      <c r="Q18" s="33" t="inlineStr">
        <is>
          <t>Hayır</t>
        </is>
      </c>
    </row>
    <row r="19" ht="20" customHeight="1">
      <c r="A19" s="35" t="n">
        <v>10092</v>
      </c>
      <c r="B19" s="36" t="inlineStr">
        <is>
          <t>Hazine ve Maliye Bakanlığı - Yeni Birim / Rol Açılışı #92</t>
        </is>
      </c>
      <c r="C19" s="36" t="inlineStr">
        <is>
          <t>Hazine ve Maliye Bakanlığı</t>
        </is>
      </c>
      <c r="D19" s="36" t="inlineStr">
        <is>
          <t>Yeni Birim / Rol Açılışı</t>
        </is>
      </c>
      <c r="E19" s="35" t="inlineStr">
        <is>
          <t>Destek</t>
        </is>
      </c>
      <c r="F19" s="35" t="inlineStr">
        <is>
          <t>Yüksek</t>
        </is>
      </c>
      <c r="G19" s="35" t="inlineStr">
        <is>
          <t>Çözüldü</t>
        </is>
      </c>
      <c r="H19" s="36" t="inlineStr">
        <is>
          <t>Emre Koç</t>
        </is>
      </c>
      <c r="I19" s="35" t="inlineStr">
        <is>
          <t>2026-09-11 06:44:34</t>
        </is>
      </c>
      <c r="J19" s="35" t="inlineStr">
        <is>
          <t>2026-09-14 01:26:34</t>
        </is>
      </c>
      <c r="K19" s="23" t="n">
        <v>24</v>
      </c>
      <c r="L19" s="23" t="n">
        <v>66.7</v>
      </c>
      <c r="M19" s="23" t="n">
        <v>0</v>
      </c>
      <c r="N19" s="35" t="inlineStr">
        <is>
          <t>Evet</t>
        </is>
      </c>
      <c r="O19" s="35" t="inlineStr">
        <is>
          <t>Hayır</t>
        </is>
      </c>
      <c r="P19" s="35" t="inlineStr">
        <is>
          <t>Evet</t>
        </is>
      </c>
      <c r="Q19" s="35" t="inlineStr">
        <is>
          <t>Hayır</t>
        </is>
      </c>
    </row>
    <row r="20" ht="20" customHeight="1">
      <c r="A20" s="33" t="n">
        <v>10102</v>
      </c>
      <c r="B20" s="34" t="inlineStr">
        <is>
          <t>Milli Eğitim Bakanlığı - Belge Akışı / Onay Süreci #102</t>
        </is>
      </c>
      <c r="C20" s="34" t="inlineStr">
        <is>
          <t>Milli Eğitim Bakanlığı</t>
        </is>
      </c>
      <c r="D20" s="34" t="inlineStr">
        <is>
          <t>Belge Akışı / Onay Süreci</t>
        </is>
      </c>
      <c r="E20" s="33" t="inlineStr">
        <is>
          <t>Destek</t>
        </is>
      </c>
      <c r="F20" s="33" t="inlineStr">
        <is>
          <t>Çok Yüksek</t>
        </is>
      </c>
      <c r="G20" s="33" t="inlineStr">
        <is>
          <t>Çözüldü</t>
        </is>
      </c>
      <c r="H20" s="34" t="inlineStr">
        <is>
          <t>Emre Koç</t>
        </is>
      </c>
      <c r="I20" s="33" t="inlineStr">
        <is>
          <t>2026-09-09 08:57:56</t>
        </is>
      </c>
      <c r="J20" s="33" t="inlineStr">
        <is>
          <t>2026-09-11 17:27:56</t>
        </is>
      </c>
      <c r="K20" s="27" t="n">
        <v>18</v>
      </c>
      <c r="L20" s="27" t="n">
        <v>51.7</v>
      </c>
      <c r="M20" s="27" t="n">
        <v>4.8</v>
      </c>
      <c r="N20" s="33" t="inlineStr">
        <is>
          <t>Evet</t>
        </is>
      </c>
      <c r="O20" s="33" t="inlineStr">
        <is>
          <t>Hayır</t>
        </is>
      </c>
      <c r="P20" s="33" t="inlineStr">
        <is>
          <t>Hayır</t>
        </is>
      </c>
      <c r="Q20" s="33" t="inlineStr">
        <is>
          <t>Hayır</t>
        </is>
      </c>
    </row>
    <row r="21" ht="20" customHeight="1">
      <c r="A21" s="35" t="n">
        <v>10114</v>
      </c>
      <c r="B21" s="36" t="inlineStr">
        <is>
          <t>Gençlik ve Spor Bakanlığı - Yeni Birim / Rol Açılışı #114</t>
        </is>
      </c>
      <c r="C21" s="36" t="inlineStr">
        <is>
          <t>Gençlik ve Spor Bakanlığı</t>
        </is>
      </c>
      <c r="D21" s="36" t="inlineStr">
        <is>
          <t>Yeni Birim / Rol Açılışı</t>
        </is>
      </c>
      <c r="E21" s="35" t="inlineStr">
        <is>
          <t>Destek</t>
        </is>
      </c>
      <c r="F21" s="35" t="inlineStr">
        <is>
          <t>Çok Yüksek</t>
        </is>
      </c>
      <c r="G21" s="35" t="inlineStr">
        <is>
          <t>Kapandı</t>
        </is>
      </c>
      <c r="H21" s="36" t="inlineStr">
        <is>
          <t>Zeynep Yıldız</t>
        </is>
      </c>
      <c r="I21" s="35" t="inlineStr">
        <is>
          <t>2026-09-12 00:46:22</t>
        </is>
      </c>
      <c r="J21" s="35" t="inlineStr">
        <is>
          <t>2026-09-14 17:23:04</t>
        </is>
      </c>
      <c r="K21" s="23" t="n">
        <v>45</v>
      </c>
      <c r="L21" s="23" t="n">
        <v>65.2</v>
      </c>
      <c r="M21" s="23" t="n">
        <v>0</v>
      </c>
      <c r="N21" s="35" t="inlineStr">
        <is>
          <t>Hayır</t>
        </is>
      </c>
      <c r="O21" s="35" t="inlineStr">
        <is>
          <t>Hayır</t>
        </is>
      </c>
      <c r="P21" s="35" t="inlineStr">
        <is>
          <t>Hayır</t>
        </is>
      </c>
      <c r="Q21" s="35" t="inlineStr">
        <is>
          <t>Evet</t>
        </is>
      </c>
    </row>
    <row r="22" ht="20" customHeight="1">
      <c r="A22" s="33" t="n">
        <v>10123</v>
      </c>
      <c r="B22" s="34" t="inlineStr">
        <is>
          <t>Gelir İdaresi Başkanlığı - Kullanıcı Yetkilendirme Talebi #123</t>
        </is>
      </c>
      <c r="C22" s="34" t="inlineStr">
        <is>
          <t>Gelir İdaresi Başkanlığı</t>
        </is>
      </c>
      <c r="D22" s="34" t="inlineStr">
        <is>
          <t>Kullanıcı Yetkilendirme Talebi</t>
        </is>
      </c>
      <c r="E22" s="33" t="inlineStr">
        <is>
          <t>Destek</t>
        </is>
      </c>
      <c r="F22" s="33" t="inlineStr">
        <is>
          <t>Orta</t>
        </is>
      </c>
      <c r="G22" s="33" t="inlineStr">
        <is>
          <t>Kapandı</t>
        </is>
      </c>
      <c r="H22" s="34" t="inlineStr">
        <is>
          <t>Zeynep Yıldız</t>
        </is>
      </c>
      <c r="I22" s="33" t="inlineStr">
        <is>
          <t>2026-09-08 09:40:41</t>
        </is>
      </c>
      <c r="J22" s="33" t="inlineStr">
        <is>
          <t>2026-09-09 17:58:41</t>
        </is>
      </c>
      <c r="K22" s="27" t="n">
        <v>25</v>
      </c>
      <c r="L22" s="27" t="n">
        <v>32.3</v>
      </c>
      <c r="M22" s="27" t="n">
        <v>0</v>
      </c>
      <c r="N22" s="33" t="inlineStr">
        <is>
          <t>Evet</t>
        </is>
      </c>
      <c r="O22" s="33" t="inlineStr">
        <is>
          <t>Evet</t>
        </is>
      </c>
      <c r="P22" s="33" t="inlineStr">
        <is>
          <t>Hayır</t>
        </is>
      </c>
      <c r="Q22" s="33" t="inlineStr">
        <is>
          <t>Hayır</t>
        </is>
      </c>
    </row>
    <row r="23" ht="20" customHeight="1">
      <c r="A23" s="35" t="n">
        <v>10129</v>
      </c>
      <c r="B23" s="36" t="inlineStr">
        <is>
          <t>Sanayi ve Teknoloji Bakanlığı - PDF / TIFF Görüntüleme Hatası #129</t>
        </is>
      </c>
      <c r="C23" s="36" t="inlineStr">
        <is>
          <t>Sanayi ve Teknoloji Bakanlığı</t>
        </is>
      </c>
      <c r="D23" s="36" t="inlineStr">
        <is>
          <t>PDF / TIFF Görüntüleme Hatası</t>
        </is>
      </c>
      <c r="E23" s="35" t="inlineStr">
        <is>
          <t>Hata</t>
        </is>
      </c>
      <c r="F23" s="35" t="inlineStr">
        <is>
          <t>Orta</t>
        </is>
      </c>
      <c r="G23" s="35" t="inlineStr">
        <is>
          <t>Çözüldü</t>
        </is>
      </c>
      <c r="H23" s="36" t="inlineStr">
        <is>
          <t>Emre Koç</t>
        </is>
      </c>
      <c r="I23" s="35" t="inlineStr">
        <is>
          <t>2026-09-13 23:17:41</t>
        </is>
      </c>
      <c r="J23" s="35" t="inlineStr">
        <is>
          <t>2026-09-14 17:23:04</t>
        </is>
      </c>
      <c r="K23" s="23" t="n">
        <v>35</v>
      </c>
      <c r="L23" s="23" t="n">
        <v>54.3</v>
      </c>
      <c r="M23" s="23" t="n">
        <v>4.5</v>
      </c>
      <c r="N23" s="35" t="inlineStr">
        <is>
          <t>Evet</t>
        </is>
      </c>
      <c r="O23" s="35" t="inlineStr">
        <is>
          <t>Hayır</t>
        </is>
      </c>
      <c r="P23" s="35" t="inlineStr">
        <is>
          <t>Hayır</t>
        </is>
      </c>
      <c r="Q23" s="35" t="inlineStr">
        <is>
          <t>Hayır</t>
        </is>
      </c>
    </row>
    <row r="24" ht="20" customHeight="1">
      <c r="A24" s="33" t="n">
        <v>10131</v>
      </c>
      <c r="B24" s="34" t="inlineStr">
        <is>
          <t>Milli Eğitim Bakanlığı - Veritabanı Senkronizasyon Hatası #131</t>
        </is>
      </c>
      <c r="C24" s="34" t="inlineStr">
        <is>
          <t>Milli Eğitim Bakanlığı</t>
        </is>
      </c>
      <c r="D24" s="34" t="inlineStr">
        <is>
          <t>Veritabanı Senkronizasyon Hatası</t>
        </is>
      </c>
      <c r="E24" s="33" t="inlineStr">
        <is>
          <t>Hata</t>
        </is>
      </c>
      <c r="F24" s="33" t="inlineStr">
        <is>
          <t>Orta</t>
        </is>
      </c>
      <c r="G24" s="33" t="inlineStr">
        <is>
          <t>Çözüldü</t>
        </is>
      </c>
      <c r="H24" s="34" t="inlineStr">
        <is>
          <t>Ahmet Yılmaz</t>
        </is>
      </c>
      <c r="I24" s="33" t="inlineStr">
        <is>
          <t>2026-09-08 04:20:17</t>
        </is>
      </c>
      <c r="J24" s="33" t="inlineStr">
        <is>
          <t>2026-09-10 22:08:17</t>
        </is>
      </c>
      <c r="K24" s="27" t="n">
        <v>40</v>
      </c>
      <c r="L24" s="27" t="n">
        <v>53.59999999999999</v>
      </c>
      <c r="M24" s="27" t="n">
        <v>12.2</v>
      </c>
      <c r="N24" s="33" t="inlineStr">
        <is>
          <t>Evet</t>
        </is>
      </c>
      <c r="O24" s="33" t="inlineStr">
        <is>
          <t>Hayır</t>
        </is>
      </c>
      <c r="P24" s="33" t="inlineStr">
        <is>
          <t>Evet</t>
        </is>
      </c>
      <c r="Q24" s="33" t="inlineStr">
        <is>
          <t>Hayır</t>
        </is>
      </c>
    </row>
    <row r="25" ht="20" customHeight="1">
      <c r="A25" s="35" t="n">
        <v>10143</v>
      </c>
      <c r="B25" s="36" t="inlineStr">
        <is>
          <t>Gençlik ve Spor Bakanlığı - EBYS İstemci Kurulum Yardımı #143</t>
        </is>
      </c>
      <c r="C25" s="36" t="inlineStr">
        <is>
          <t>Gençlik ve Spor Bakanlığı</t>
        </is>
      </c>
      <c r="D25" s="36" t="inlineStr">
        <is>
          <t>EBYS İstemci Kurulum Yardımı</t>
        </is>
      </c>
      <c r="E25" s="35" t="inlineStr">
        <is>
          <t>Destek</t>
        </is>
      </c>
      <c r="F25" s="35" t="inlineStr">
        <is>
          <t>Yüksek</t>
        </is>
      </c>
      <c r="G25" s="35" t="inlineStr">
        <is>
          <t>Çözüldü</t>
        </is>
      </c>
      <c r="H25" s="36" t="inlineStr">
        <is>
          <t>Burak Şahin</t>
        </is>
      </c>
      <c r="I25" s="35" t="inlineStr">
        <is>
          <t>2026-09-09 20:19:39</t>
        </is>
      </c>
      <c r="J25" s="35" t="inlineStr">
        <is>
          <t>2026-09-12 09:07:39</t>
        </is>
      </c>
      <c r="K25" s="23" t="n">
        <v>20</v>
      </c>
      <c r="L25" s="23" t="n">
        <v>60.8</v>
      </c>
      <c r="M25" s="23" t="n">
        <v>0</v>
      </c>
      <c r="N25" s="35" t="inlineStr">
        <is>
          <t>Evet</t>
        </is>
      </c>
      <c r="O25" s="35" t="inlineStr">
        <is>
          <t>Hayır</t>
        </is>
      </c>
      <c r="P25" s="35" t="inlineStr">
        <is>
          <t>Evet</t>
        </is>
      </c>
      <c r="Q25" s="35" t="inlineStr">
        <is>
          <t>Hayır</t>
        </is>
      </c>
    </row>
    <row r="26" ht="20" customHeight="1">
      <c r="A26" s="33" t="n">
        <v>10145</v>
      </c>
      <c r="B26" s="34" t="inlineStr">
        <is>
          <t>Sağlık Bakanlığı - PDF / TIFF Görüntüleme Hatası #145</t>
        </is>
      </c>
      <c r="C26" s="34" t="inlineStr">
        <is>
          <t>Sağlık Bakanlığı</t>
        </is>
      </c>
      <c r="D26" s="34" t="inlineStr">
        <is>
          <t>PDF / TIFF Görüntüleme Hatası</t>
        </is>
      </c>
      <c r="E26" s="33" t="inlineStr">
        <is>
          <t>Hata</t>
        </is>
      </c>
      <c r="F26" s="33" t="inlineStr">
        <is>
          <t>Yüksek</t>
        </is>
      </c>
      <c r="G26" s="33" t="inlineStr">
        <is>
          <t>Çözüldü</t>
        </is>
      </c>
      <c r="H26" s="34" t="inlineStr">
        <is>
          <t>Ayşe Demir</t>
        </is>
      </c>
      <c r="I26" s="33" t="inlineStr">
        <is>
          <t>2026-09-10 05:01:53</t>
        </is>
      </c>
      <c r="J26" s="33" t="inlineStr">
        <is>
          <t>2026-09-11 20:01:53</t>
        </is>
      </c>
      <c r="K26" s="27" t="n">
        <v>15</v>
      </c>
      <c r="L26" s="27" t="n">
        <v>39</v>
      </c>
      <c r="M26" s="27" t="n">
        <v>0</v>
      </c>
      <c r="N26" s="33" t="inlineStr">
        <is>
          <t>Evet</t>
        </is>
      </c>
      <c r="O26" s="33" t="inlineStr">
        <is>
          <t>Hayır</t>
        </is>
      </c>
      <c r="P26" s="33" t="inlineStr">
        <is>
          <t>Evet</t>
        </is>
      </c>
      <c r="Q26" s="33" t="inlineStr">
        <is>
          <t>Hayır</t>
        </is>
      </c>
    </row>
    <row r="27" ht="20" customHeight="1">
      <c r="A27" s="35" t="n">
        <v>10150</v>
      </c>
      <c r="B27" s="36" t="inlineStr">
        <is>
          <t>Çevre, Şehircilik ve İklim Değişikliği Bakanlığı - Veritabanı Senkronizasyon Hatası #150</t>
        </is>
      </c>
      <c r="C27" s="36" t="inlineStr">
        <is>
          <t>Çevre, Şehircilik ve İklim Değişikliği Bakanlığı</t>
        </is>
      </c>
      <c r="D27" s="36" t="inlineStr">
        <is>
          <t>Veritabanı Senkronizasyon Hatası</t>
        </is>
      </c>
      <c r="E27" s="35" t="inlineStr">
        <is>
          <t>Hata</t>
        </is>
      </c>
      <c r="F27" s="35" t="inlineStr">
        <is>
          <t>Yüksek</t>
        </is>
      </c>
      <c r="G27" s="35" t="inlineStr">
        <is>
          <t>Çözüldü</t>
        </is>
      </c>
      <c r="H27" s="36" t="inlineStr">
        <is>
          <t>Ayşe Demir</t>
        </is>
      </c>
      <c r="I27" s="35" t="inlineStr">
        <is>
          <t>2026-09-09 16:22:17</t>
        </is>
      </c>
      <c r="J27" s="35" t="inlineStr">
        <is>
          <t>2026-09-11 08:10:17</t>
        </is>
      </c>
      <c r="K27" s="23" t="n">
        <v>45</v>
      </c>
      <c r="L27" s="23" t="n">
        <v>32.3</v>
      </c>
      <c r="M27" s="23" t="n">
        <v>7.5</v>
      </c>
      <c r="N27" s="35" t="inlineStr">
        <is>
          <t>Hayır</t>
        </is>
      </c>
      <c r="O27" s="35" t="inlineStr">
        <is>
          <t>Hayır</t>
        </is>
      </c>
      <c r="P27" s="35" t="inlineStr">
        <is>
          <t>Hayır</t>
        </is>
      </c>
      <c r="Q27" s="35" t="inlineStr">
        <is>
          <t>Hayır</t>
        </is>
      </c>
    </row>
    <row r="28" ht="20" customHeight="1">
      <c r="A28" s="33" t="n">
        <v>10151</v>
      </c>
      <c r="B28" s="34" t="inlineStr">
        <is>
          <t>Çevre, Şehircilik ve İklim Değişikliği Bakanlığı - PDF / TIFF Görüntüleme Hatası #151</t>
        </is>
      </c>
      <c r="C28" s="34" t="inlineStr">
        <is>
          <t>Çevre, Şehircilik ve İklim Değişikliği Bakanlığı</t>
        </is>
      </c>
      <c r="D28" s="34" t="inlineStr">
        <is>
          <t>PDF / TIFF Görüntüleme Hatası</t>
        </is>
      </c>
      <c r="E28" s="33" t="inlineStr">
        <is>
          <t>Hata</t>
        </is>
      </c>
      <c r="F28" s="33" t="inlineStr">
        <is>
          <t>Düşük</t>
        </is>
      </c>
      <c r="G28" s="33" t="inlineStr">
        <is>
          <t>İşlemde</t>
        </is>
      </c>
      <c r="H28" s="34" t="inlineStr">
        <is>
          <t>Fatma Çelik</t>
        </is>
      </c>
      <c r="I28" s="33" t="inlineStr">
        <is>
          <t>2026-09-09 18:40:33</t>
        </is>
      </c>
      <c r="J28" s="33" t="inlineStr"/>
      <c r="K28" s="27" t="n">
        <v>45</v>
      </c>
      <c r="L28" s="27" t="n">
        <v>61.5</v>
      </c>
      <c r="M28" s="27" t="n">
        <v>0</v>
      </c>
      <c r="N28" s="33" t="inlineStr">
        <is>
          <t>Evet</t>
        </is>
      </c>
      <c r="O28" s="33" t="inlineStr">
        <is>
          <t>Evet</t>
        </is>
      </c>
      <c r="P28" s="33" t="inlineStr">
        <is>
          <t>Hayır</t>
        </is>
      </c>
      <c r="Q28" s="33" t="inlineStr">
        <is>
          <t>Hayır</t>
        </is>
      </c>
    </row>
    <row r="29" ht="20" customHeight="1">
      <c r="A29" s="35" t="n">
        <v>10152</v>
      </c>
      <c r="B29" s="36" t="inlineStr">
        <is>
          <t>Ulaştırma ve Altyapı Bakanlığı - Şablon / Form Düzenleme #152</t>
        </is>
      </c>
      <c r="C29" s="36" t="inlineStr">
        <is>
          <t>Ulaştırma ve Altyapı Bakanlığı</t>
        </is>
      </c>
      <c r="D29" s="36" t="inlineStr">
        <is>
          <t>Şablon / Form Düzenleme</t>
        </is>
      </c>
      <c r="E29" s="35" t="inlineStr">
        <is>
          <t>Destek</t>
        </is>
      </c>
      <c r="F29" s="35" t="inlineStr">
        <is>
          <t>Çok Yüksek</t>
        </is>
      </c>
      <c r="G29" s="35" t="inlineStr">
        <is>
          <t>Çözüldü</t>
        </is>
      </c>
      <c r="H29" s="36" t="inlineStr">
        <is>
          <t>Ahmet Yılmaz</t>
        </is>
      </c>
      <c r="I29" s="35" t="inlineStr">
        <is>
          <t>2026-09-09 03:25:53</t>
        </is>
      </c>
      <c r="J29" s="35" t="inlineStr">
        <is>
          <t>2026-09-12 02:25:53</t>
        </is>
      </c>
      <c r="K29" s="23" t="n">
        <v>18</v>
      </c>
      <c r="L29" s="23" t="n">
        <v>71</v>
      </c>
      <c r="M29" s="23" t="n">
        <v>0</v>
      </c>
      <c r="N29" s="35" t="inlineStr">
        <is>
          <t>Evet</t>
        </is>
      </c>
      <c r="O29" s="35" t="inlineStr">
        <is>
          <t>Hayır</t>
        </is>
      </c>
      <c r="P29" s="35" t="inlineStr">
        <is>
          <t>Evet</t>
        </is>
      </c>
      <c r="Q29" s="35" t="inlineStr">
        <is>
          <t>Hayır</t>
        </is>
      </c>
    </row>
    <row r="30" ht="20" customHeight="1">
      <c r="A30" s="33" t="n">
        <v>10156</v>
      </c>
      <c r="B30" s="34" t="inlineStr">
        <is>
          <t>Sanayi ve Teknoloji Bakanlığı - Yeni Birim / Rol Açılışı #156</t>
        </is>
      </c>
      <c r="C30" s="34" t="inlineStr">
        <is>
          <t>Sanayi ve Teknoloji Bakanlığı</t>
        </is>
      </c>
      <c r="D30" s="34" t="inlineStr">
        <is>
          <t>Yeni Birim / Rol Açılışı</t>
        </is>
      </c>
      <c r="E30" s="33" t="inlineStr">
        <is>
          <t>Destek</t>
        </is>
      </c>
      <c r="F30" s="33" t="inlineStr">
        <is>
          <t>Düşük</t>
        </is>
      </c>
      <c r="G30" s="33" t="inlineStr">
        <is>
          <t>Kapandı</t>
        </is>
      </c>
      <c r="H30" s="34" t="inlineStr">
        <is>
          <t>Zeynep Yıldız</t>
        </is>
      </c>
      <c r="I30" s="33" t="inlineStr">
        <is>
          <t>2026-09-13 05:45:00</t>
        </is>
      </c>
      <c r="J30" s="33" t="inlineStr">
        <is>
          <t>2026-09-14 17:23:04</t>
        </is>
      </c>
      <c r="K30" s="27" t="n">
        <v>45</v>
      </c>
      <c r="L30" s="27" t="n">
        <v>46.5</v>
      </c>
      <c r="M30" s="27" t="n">
        <v>0</v>
      </c>
      <c r="N30" s="33" t="inlineStr">
        <is>
          <t>Evet</t>
        </is>
      </c>
      <c r="O30" s="33" t="inlineStr">
        <is>
          <t>Evet</t>
        </is>
      </c>
      <c r="P30" s="33" t="inlineStr">
        <is>
          <t>Evet</t>
        </is>
      </c>
      <c r="Q30" s="33" t="inlineStr">
        <is>
          <t>Hayır</t>
        </is>
      </c>
    </row>
    <row r="31" ht="20" customHeight="1">
      <c r="A31" s="35" t="n">
        <v>10157</v>
      </c>
      <c r="B31" s="36" t="inlineStr">
        <is>
          <t>Gençlik ve Spor Bakanlığı - Şablon / Form Düzenleme #157</t>
        </is>
      </c>
      <c r="C31" s="36" t="inlineStr">
        <is>
          <t>Gençlik ve Spor Bakanlığı</t>
        </is>
      </c>
      <c r="D31" s="36" t="inlineStr">
        <is>
          <t>Şablon / Form Düzenleme</t>
        </is>
      </c>
      <c r="E31" s="35" t="inlineStr">
        <is>
          <t>Destek</t>
        </is>
      </c>
      <c r="F31" s="35" t="inlineStr">
        <is>
          <t>Çok Yüksek</t>
        </is>
      </c>
      <c r="G31" s="35" t="inlineStr">
        <is>
          <t>Kapandı</t>
        </is>
      </c>
      <c r="H31" s="36" t="inlineStr">
        <is>
          <t>Burak Şahin</t>
        </is>
      </c>
      <c r="I31" s="35" t="inlineStr">
        <is>
          <t>2026-09-09 00:49:22</t>
        </is>
      </c>
      <c r="J31" s="35" t="inlineStr">
        <is>
          <t>2026-09-11 06:43:22</t>
        </is>
      </c>
      <c r="K31" s="23" t="n">
        <v>20</v>
      </c>
      <c r="L31" s="23" t="n">
        <v>29.2</v>
      </c>
      <c r="M31" s="23" t="n">
        <v>24.7</v>
      </c>
      <c r="N31" s="35" t="inlineStr">
        <is>
          <t>Evet</t>
        </is>
      </c>
      <c r="O31" s="35" t="inlineStr">
        <is>
          <t>Hayır</t>
        </is>
      </c>
      <c r="P31" s="35" t="inlineStr">
        <is>
          <t>Evet</t>
        </is>
      </c>
      <c r="Q31" s="35" t="inlineStr">
        <is>
          <t>Hayır</t>
        </is>
      </c>
    </row>
    <row r="32" ht="20" customHeight="1">
      <c r="A32" s="33" t="n">
        <v>10166</v>
      </c>
      <c r="B32" s="34" t="inlineStr">
        <is>
          <t>Adalet Bakanlığı - Kullanıcı Yetkilendirme Talebi #166</t>
        </is>
      </c>
      <c r="C32" s="34" t="inlineStr">
        <is>
          <t>Adalet Bakanlığı</t>
        </is>
      </c>
      <c r="D32" s="34" t="inlineStr">
        <is>
          <t>Kullanıcı Yetkilendirme Talebi</t>
        </is>
      </c>
      <c r="E32" s="33" t="inlineStr">
        <is>
          <t>Destek</t>
        </is>
      </c>
      <c r="F32" s="33" t="inlineStr">
        <is>
          <t>Orta</t>
        </is>
      </c>
      <c r="G32" s="33" t="inlineStr">
        <is>
          <t>Çözüldü</t>
        </is>
      </c>
      <c r="H32" s="34" t="inlineStr">
        <is>
          <t>Ayşe Demir</t>
        </is>
      </c>
      <c r="I32" s="33" t="inlineStr">
        <is>
          <t>2026-09-11 04:15:39</t>
        </is>
      </c>
      <c r="J32" s="33" t="inlineStr">
        <is>
          <t>2026-09-13 06:03:39</t>
        </is>
      </c>
      <c r="K32" s="27" t="n">
        <v>40</v>
      </c>
      <c r="L32" s="27" t="n">
        <v>49.8</v>
      </c>
      <c r="M32" s="27" t="n">
        <v>0</v>
      </c>
      <c r="N32" s="33" t="inlineStr">
        <is>
          <t>Evet</t>
        </is>
      </c>
      <c r="O32" s="33" t="inlineStr">
        <is>
          <t>Hayır</t>
        </is>
      </c>
      <c r="P32" s="33" t="inlineStr">
        <is>
          <t>Evet</t>
        </is>
      </c>
      <c r="Q32" s="33" t="inlineStr">
        <is>
          <t>Hayır</t>
        </is>
      </c>
    </row>
    <row r="33" ht="20" customHeight="1">
      <c r="A33" s="35" t="n">
        <v>10170</v>
      </c>
      <c r="B33" s="36" t="inlineStr">
        <is>
          <t>Sağlık Bakanlığı - Entegrasyon / Servis Kesintisi #170</t>
        </is>
      </c>
      <c r="C33" s="36" t="inlineStr">
        <is>
          <t>Sağlık Bakanlığı</t>
        </is>
      </c>
      <c r="D33" s="36" t="inlineStr">
        <is>
          <t>Entegrasyon / Servis Kesintisi</t>
        </is>
      </c>
      <c r="E33" s="35" t="inlineStr">
        <is>
          <t>Hata</t>
        </is>
      </c>
      <c r="F33" s="35" t="inlineStr">
        <is>
          <t>Orta</t>
        </is>
      </c>
      <c r="G33" s="35" t="inlineStr">
        <is>
          <t>Çözüldü</t>
        </is>
      </c>
      <c r="H33" s="36" t="inlineStr">
        <is>
          <t>Emre Koç</t>
        </is>
      </c>
      <c r="I33" s="35" t="inlineStr">
        <is>
          <t>2026-09-14 03:21:23</t>
        </is>
      </c>
      <c r="J33" s="35" t="inlineStr">
        <is>
          <t>2026-09-14 17:23:04</t>
        </is>
      </c>
      <c r="K33" s="23" t="n">
        <v>40</v>
      </c>
      <c r="L33" s="23" t="n">
        <v>20.9</v>
      </c>
      <c r="M33" s="23" t="n">
        <v>19</v>
      </c>
      <c r="N33" s="35" t="inlineStr">
        <is>
          <t>Evet</t>
        </is>
      </c>
      <c r="O33" s="35" t="inlineStr">
        <is>
          <t>Evet</t>
        </is>
      </c>
      <c r="P33" s="35" t="inlineStr">
        <is>
          <t>Hayır</t>
        </is>
      </c>
      <c r="Q33" s="35" t="inlineStr">
        <is>
          <t>Hayır</t>
        </is>
      </c>
    </row>
    <row r="34" ht="20" customHeight="1">
      <c r="A34" s="33" t="n">
        <v>10178</v>
      </c>
      <c r="B34" s="34" t="inlineStr">
        <is>
          <t>Hazine ve Maliye Bakanlığı - Kep / DYS İletişim Hatası #178</t>
        </is>
      </c>
      <c r="C34" s="34" t="inlineStr">
        <is>
          <t>Hazine ve Maliye Bakanlığı</t>
        </is>
      </c>
      <c r="D34" s="34" t="inlineStr">
        <is>
          <t>Kep / DYS İletişim Hatası</t>
        </is>
      </c>
      <c r="E34" s="33" t="inlineStr">
        <is>
          <t>Hata</t>
        </is>
      </c>
      <c r="F34" s="33" t="inlineStr">
        <is>
          <t>Orta</t>
        </is>
      </c>
      <c r="G34" s="33" t="inlineStr">
        <is>
          <t>Kapandı</t>
        </is>
      </c>
      <c r="H34" s="34" t="inlineStr">
        <is>
          <t>Emre Koç</t>
        </is>
      </c>
      <c r="I34" s="33" t="inlineStr">
        <is>
          <t>2026-09-09 23:10:28</t>
        </is>
      </c>
      <c r="J34" s="33" t="inlineStr">
        <is>
          <t>2026-09-12 16:40:28</t>
        </is>
      </c>
      <c r="K34" s="27" t="n">
        <v>50</v>
      </c>
      <c r="L34" s="27" t="n">
        <v>65.5</v>
      </c>
      <c r="M34" s="27" t="n">
        <v>0</v>
      </c>
      <c r="N34" s="33" t="inlineStr">
        <is>
          <t>Evet</t>
        </is>
      </c>
      <c r="O34" s="33" t="inlineStr">
        <is>
          <t>Hayır</t>
        </is>
      </c>
      <c r="P34" s="33" t="inlineStr">
        <is>
          <t>Evet</t>
        </is>
      </c>
      <c r="Q34" s="33" t="inlineStr">
        <is>
          <t>Hayır</t>
        </is>
      </c>
    </row>
    <row r="35" ht="20" customHeight="1">
      <c r="A35" s="35" t="n">
        <v>10180</v>
      </c>
      <c r="B35" s="36" t="inlineStr">
        <is>
          <t>Çevre, Şehircilik ve İklim Değişikliği Bakanlığı - EBYS İstemci Kurulum Yardımı #180</t>
        </is>
      </c>
      <c r="C35" s="36" t="inlineStr">
        <is>
          <t>Çevre, Şehircilik ve İklim Değişikliği Bakanlığı</t>
        </is>
      </c>
      <c r="D35" s="36" t="inlineStr">
        <is>
          <t>EBYS İstemci Kurulum Yardımı</t>
        </is>
      </c>
      <c r="E35" s="35" t="inlineStr">
        <is>
          <t>Destek</t>
        </is>
      </c>
      <c r="F35" s="35" t="inlineStr">
        <is>
          <t>Orta</t>
        </is>
      </c>
      <c r="G35" s="35" t="inlineStr">
        <is>
          <t>Kapandı</t>
        </is>
      </c>
      <c r="H35" s="36" t="inlineStr">
        <is>
          <t>Emre Koç</t>
        </is>
      </c>
      <c r="I35" s="35" t="inlineStr">
        <is>
          <t>2026-09-13 20:12:51</t>
        </is>
      </c>
      <c r="J35" s="35" t="inlineStr">
        <is>
          <t>2026-09-14 16:36:51</t>
        </is>
      </c>
      <c r="K35" s="23" t="n">
        <v>55</v>
      </c>
      <c r="L35" s="23" t="n">
        <v>15.7</v>
      </c>
      <c r="M35" s="23" t="n">
        <v>4.7</v>
      </c>
      <c r="N35" s="35" t="inlineStr">
        <is>
          <t>Evet</t>
        </is>
      </c>
      <c r="O35" s="35" t="inlineStr">
        <is>
          <t>Evet</t>
        </is>
      </c>
      <c r="P35" s="35" t="inlineStr">
        <is>
          <t>Evet</t>
        </is>
      </c>
      <c r="Q35" s="35" t="inlineStr">
        <is>
          <t>Hayır</t>
        </is>
      </c>
    </row>
    <row r="36" ht="20" customHeight="1">
      <c r="A36" s="33" t="n">
        <v>10181</v>
      </c>
      <c r="B36" s="34" t="inlineStr">
        <is>
          <t>İçişleri Bakanlığı - E-İmza / Mobil İmza Sorunu #181</t>
        </is>
      </c>
      <c r="C36" s="34" t="inlineStr">
        <is>
          <t>İçişleri Bakanlığı</t>
        </is>
      </c>
      <c r="D36" s="34" t="inlineStr">
        <is>
          <t>E-İmza / Mobil İmza Sorunu</t>
        </is>
      </c>
      <c r="E36" s="33" t="inlineStr">
        <is>
          <t>Hata</t>
        </is>
      </c>
      <c r="F36" s="33" t="inlineStr">
        <is>
          <t>Yüksek</t>
        </is>
      </c>
      <c r="G36" s="33" t="inlineStr">
        <is>
          <t>Çözüldü</t>
        </is>
      </c>
      <c r="H36" s="34" t="inlineStr">
        <is>
          <t>Fatma Çelik</t>
        </is>
      </c>
      <c r="I36" s="33" t="inlineStr">
        <is>
          <t>2026-09-10 17:49:11</t>
        </is>
      </c>
      <c r="J36" s="33" t="inlineStr">
        <is>
          <t>2026-09-11 03:37:11</t>
        </is>
      </c>
      <c r="K36" s="27" t="n">
        <v>18</v>
      </c>
      <c r="L36" s="27" t="n">
        <v>5.300000000000001</v>
      </c>
      <c r="M36" s="27" t="n">
        <v>4.5</v>
      </c>
      <c r="N36" s="33" t="inlineStr">
        <is>
          <t>Evet</t>
        </is>
      </c>
      <c r="O36" s="33" t="inlineStr">
        <is>
          <t>Evet</t>
        </is>
      </c>
      <c r="P36" s="33" t="inlineStr">
        <is>
          <t>Evet</t>
        </is>
      </c>
      <c r="Q36" s="33" t="inlineStr">
        <is>
          <t>Evet</t>
        </is>
      </c>
    </row>
    <row r="37" ht="20" customHeight="1">
      <c r="A37" s="35" t="n">
        <v>10187</v>
      </c>
      <c r="B37" s="36" t="inlineStr">
        <is>
          <t>İçişleri Bakanlığı - EBYS İstemci Kurulum Yardımı #187</t>
        </is>
      </c>
      <c r="C37" s="36" t="inlineStr">
        <is>
          <t>İçişleri Bakanlığı</t>
        </is>
      </c>
      <c r="D37" s="36" t="inlineStr">
        <is>
          <t>EBYS İstemci Kurulum Yardımı</t>
        </is>
      </c>
      <c r="E37" s="35" t="inlineStr">
        <is>
          <t>Destek</t>
        </is>
      </c>
      <c r="F37" s="35" t="inlineStr">
        <is>
          <t>Yüksek</t>
        </is>
      </c>
      <c r="G37" s="35" t="inlineStr">
        <is>
          <t>Kapandı</t>
        </is>
      </c>
      <c r="H37" s="36" t="inlineStr">
        <is>
          <t>Zeynep Yıldız</t>
        </is>
      </c>
      <c r="I37" s="35" t="inlineStr">
        <is>
          <t>2026-09-08 03:38:12</t>
        </is>
      </c>
      <c r="J37" s="35" t="inlineStr">
        <is>
          <t>2026-09-10 21:08:12</t>
        </is>
      </c>
      <c r="K37" s="23" t="n">
        <v>28</v>
      </c>
      <c r="L37" s="23" t="n">
        <v>36.7</v>
      </c>
      <c r="M37" s="23" t="n">
        <v>28.8</v>
      </c>
      <c r="N37" s="35" t="inlineStr">
        <is>
          <t>Evet</t>
        </is>
      </c>
      <c r="O37" s="35" t="inlineStr">
        <is>
          <t>Hayır</t>
        </is>
      </c>
      <c r="P37" s="35" t="inlineStr">
        <is>
          <t>Hayır</t>
        </is>
      </c>
      <c r="Q37" s="35" t="inlineStr">
        <is>
          <t>Hayır</t>
        </is>
      </c>
    </row>
    <row r="38" ht="20" customHeight="1">
      <c r="A38" s="33" t="n">
        <v>10191</v>
      </c>
      <c r="B38" s="34" t="inlineStr">
        <is>
          <t>Ulaştırma ve Altyapı Bakanlığı - Entegrasyon / Servis Kesintisi #191</t>
        </is>
      </c>
      <c r="C38" s="34" t="inlineStr">
        <is>
          <t>Ulaştırma ve Altyapı Bakanlığı</t>
        </is>
      </c>
      <c r="D38" s="34" t="inlineStr">
        <is>
          <t>Entegrasyon / Servis Kesintisi</t>
        </is>
      </c>
      <c r="E38" s="33" t="inlineStr">
        <is>
          <t>Hata</t>
        </is>
      </c>
      <c r="F38" s="33" t="inlineStr">
        <is>
          <t>Orta</t>
        </is>
      </c>
      <c r="G38" s="33" t="inlineStr">
        <is>
          <t>Çözüldü</t>
        </is>
      </c>
      <c r="H38" s="34" t="inlineStr">
        <is>
          <t>Burak Şahin</t>
        </is>
      </c>
      <c r="I38" s="33" t="inlineStr">
        <is>
          <t>2026-09-09 09:09:13</t>
        </is>
      </c>
      <c r="J38" s="33" t="inlineStr">
        <is>
          <t>2026-09-11 18:57:13</t>
        </is>
      </c>
      <c r="K38" s="27" t="n">
        <v>65</v>
      </c>
      <c r="L38" s="27" t="n">
        <v>57.8</v>
      </c>
      <c r="M38" s="27" t="n">
        <v>0</v>
      </c>
      <c r="N38" s="33" t="inlineStr">
        <is>
          <t>Hayır</t>
        </is>
      </c>
      <c r="O38" s="33" t="inlineStr">
        <is>
          <t>Hayır</t>
        </is>
      </c>
      <c r="P38" s="33" t="inlineStr">
        <is>
          <t>Evet</t>
        </is>
      </c>
      <c r="Q38" s="33" t="inlineStr">
        <is>
          <t>Hayır</t>
        </is>
      </c>
    </row>
    <row r="39" ht="20" customHeight="1">
      <c r="A39" s="35" t="n">
        <v>10193</v>
      </c>
      <c r="B39" s="36" t="inlineStr">
        <is>
          <t>Adalet Bakanlığı - E-İmza / Mobil İmza Sorunu #193</t>
        </is>
      </c>
      <c r="C39" s="36" t="inlineStr">
        <is>
          <t>Adalet Bakanlığı</t>
        </is>
      </c>
      <c r="D39" s="36" t="inlineStr">
        <is>
          <t>E-İmza / Mobil İmza Sorunu</t>
        </is>
      </c>
      <c r="E39" s="35" t="inlineStr">
        <is>
          <t>Hata</t>
        </is>
      </c>
      <c r="F39" s="35" t="inlineStr">
        <is>
          <t>Yüksek</t>
        </is>
      </c>
      <c r="G39" s="35" t="inlineStr">
        <is>
          <t>İşlemde</t>
        </is>
      </c>
      <c r="H39" s="36" t="inlineStr">
        <is>
          <t>Emre Koç</t>
        </is>
      </c>
      <c r="I39" s="35" t="inlineStr">
        <is>
          <t>2026-09-13 11:03:34</t>
        </is>
      </c>
      <c r="J39" s="35" t="inlineStr"/>
      <c r="K39" s="23" t="n">
        <v>24</v>
      </c>
      <c r="L39" s="23" t="n">
        <v>42.1</v>
      </c>
      <c r="M39" s="23" t="n">
        <v>21.5</v>
      </c>
      <c r="N39" s="35" t="inlineStr">
        <is>
          <t>Evet</t>
        </is>
      </c>
      <c r="O39" s="35" t="inlineStr">
        <is>
          <t>Hayır</t>
        </is>
      </c>
      <c r="P39" s="35" t="inlineStr">
        <is>
          <t>Hayır</t>
        </is>
      </c>
      <c r="Q39" s="35" t="inlineStr">
        <is>
          <t>Hayır</t>
        </is>
      </c>
    </row>
    <row r="40" ht="20" customHeight="1">
      <c r="A40" s="33" t="n">
        <v>10199</v>
      </c>
      <c r="B40" s="34" t="inlineStr">
        <is>
          <t>Gençlik ve Spor Bakanlığı - EBYS İstemci Kurulum Yardımı #199</t>
        </is>
      </c>
      <c r="C40" s="34" t="inlineStr">
        <is>
          <t>Gençlik ve Spor Bakanlığı</t>
        </is>
      </c>
      <c r="D40" s="34" t="inlineStr">
        <is>
          <t>EBYS İstemci Kurulum Yardımı</t>
        </is>
      </c>
      <c r="E40" s="33" t="inlineStr">
        <is>
          <t>Destek</t>
        </is>
      </c>
      <c r="F40" s="33" t="inlineStr">
        <is>
          <t>Düşük</t>
        </is>
      </c>
      <c r="G40" s="33" t="inlineStr">
        <is>
          <t>İşlemde</t>
        </is>
      </c>
      <c r="H40" s="34" t="inlineStr">
        <is>
          <t>Ahmet Yılmaz</t>
        </is>
      </c>
      <c r="I40" s="33" t="inlineStr">
        <is>
          <t>2026-09-13 00:32:34</t>
        </is>
      </c>
      <c r="J40" s="33" t="inlineStr"/>
      <c r="K40" s="27" t="n">
        <v>45</v>
      </c>
      <c r="L40" s="27" t="n">
        <v>40.9</v>
      </c>
      <c r="M40" s="27" t="n">
        <v>28.9</v>
      </c>
      <c r="N40" s="33" t="inlineStr">
        <is>
          <t>Evet</t>
        </is>
      </c>
      <c r="O40" s="33" t="inlineStr">
        <is>
          <t>Evet</t>
        </is>
      </c>
      <c r="P40" s="33" t="inlineStr">
        <is>
          <t>Hayır</t>
        </is>
      </c>
      <c r="Q40" s="33" t="inlineStr">
        <is>
          <t>Hayır</t>
        </is>
      </c>
    </row>
    <row r="41" ht="20" customHeight="1">
      <c r="A41" s="35" t="n">
        <v>10205</v>
      </c>
      <c r="B41" s="36" t="inlineStr">
        <is>
          <t>Hazine ve Maliye Bakanlığı - PDF / TIFF Görüntüleme Hatası #205</t>
        </is>
      </c>
      <c r="C41" s="36" t="inlineStr">
        <is>
          <t>Hazine ve Maliye Bakanlığı</t>
        </is>
      </c>
      <c r="D41" s="36" t="inlineStr">
        <is>
          <t>PDF / TIFF Görüntüleme Hatası</t>
        </is>
      </c>
      <c r="E41" s="35" t="inlineStr">
        <is>
          <t>Hata</t>
        </is>
      </c>
      <c r="F41" s="35" t="inlineStr">
        <is>
          <t>Orta</t>
        </is>
      </c>
      <c r="G41" s="35" t="inlineStr">
        <is>
          <t>Çözüldü</t>
        </is>
      </c>
      <c r="H41" s="36" t="inlineStr">
        <is>
          <t>Emre Koç</t>
        </is>
      </c>
      <c r="I41" s="35" t="inlineStr">
        <is>
          <t>2026-09-13 17:18:09</t>
        </is>
      </c>
      <c r="J41" s="35" t="inlineStr">
        <is>
          <t>2026-09-14 17:00:09</t>
        </is>
      </c>
      <c r="K41" s="23" t="n">
        <v>25</v>
      </c>
      <c r="L41" s="23" t="n">
        <v>21.4</v>
      </c>
      <c r="M41" s="23" t="n">
        <v>2.3</v>
      </c>
      <c r="N41" s="35" t="inlineStr">
        <is>
          <t>Evet</t>
        </is>
      </c>
      <c r="O41" s="35" t="inlineStr">
        <is>
          <t>Evet</t>
        </is>
      </c>
      <c r="P41" s="35" t="inlineStr">
        <is>
          <t>Evet</t>
        </is>
      </c>
      <c r="Q41" s="35" t="inlineStr">
        <is>
          <t>Hayır</t>
        </is>
      </c>
    </row>
    <row r="42" ht="20" customHeight="1">
      <c r="A42" s="33" t="n">
        <v>10215</v>
      </c>
      <c r="B42" s="34" t="inlineStr">
        <is>
          <t>Tarım ve Orman Bakanlığı - Veritabanı Senkronizasyon Hatası #215</t>
        </is>
      </c>
      <c r="C42" s="34" t="inlineStr">
        <is>
          <t>Tarım ve Orman Bakanlığı</t>
        </is>
      </c>
      <c r="D42" s="34" t="inlineStr">
        <is>
          <t>Veritabanı Senkronizasyon Hatası</t>
        </is>
      </c>
      <c r="E42" s="33" t="inlineStr">
        <is>
          <t>Hata</t>
        </is>
      </c>
      <c r="F42" s="33" t="inlineStr">
        <is>
          <t>Yüksek</t>
        </is>
      </c>
      <c r="G42" s="33" t="inlineStr">
        <is>
          <t>Kapandı</t>
        </is>
      </c>
      <c r="H42" s="34" t="inlineStr">
        <is>
          <t>Burak Şahin</t>
        </is>
      </c>
      <c r="I42" s="33" t="inlineStr">
        <is>
          <t>2026-09-11 16:06:10</t>
        </is>
      </c>
      <c r="J42" s="33" t="inlineStr">
        <is>
          <t>2026-09-14 03:30:10</t>
        </is>
      </c>
      <c r="K42" s="27" t="n">
        <v>20</v>
      </c>
      <c r="L42" s="27" t="n">
        <v>59.4</v>
      </c>
      <c r="M42" s="27" t="n">
        <v>0</v>
      </c>
      <c r="N42" s="33" t="inlineStr">
        <is>
          <t>Evet</t>
        </is>
      </c>
      <c r="O42" s="33" t="inlineStr">
        <is>
          <t>Hayır</t>
        </is>
      </c>
      <c r="P42" s="33" t="inlineStr">
        <is>
          <t>Evet</t>
        </is>
      </c>
      <c r="Q42" s="33" t="inlineStr">
        <is>
          <t>Hayır</t>
        </is>
      </c>
    </row>
    <row r="43" ht="20" customHeight="1">
      <c r="A43" s="35" t="n">
        <v>10218</v>
      </c>
      <c r="B43" s="36" t="inlineStr">
        <is>
          <t>Çevre, Şehircilik ve İklim Değişikliği Bakanlığı - PDF / TIFF Görüntüleme Hatası #218</t>
        </is>
      </c>
      <c r="C43" s="36" t="inlineStr">
        <is>
          <t>Çevre, Şehircilik ve İklim Değişikliği Bakanlığı</t>
        </is>
      </c>
      <c r="D43" s="36" t="inlineStr">
        <is>
          <t>PDF / TIFF Görüntüleme Hatası</t>
        </is>
      </c>
      <c r="E43" s="35" t="inlineStr">
        <is>
          <t>Hata</t>
        </is>
      </c>
      <c r="F43" s="35" t="inlineStr">
        <is>
          <t>Orta</t>
        </is>
      </c>
      <c r="G43" s="35" t="inlineStr">
        <is>
          <t>Çözüldü</t>
        </is>
      </c>
      <c r="H43" s="36" t="inlineStr">
        <is>
          <t>Emre Koç</t>
        </is>
      </c>
      <c r="I43" s="35" t="inlineStr">
        <is>
          <t>2026-09-13 14:53:00</t>
        </is>
      </c>
      <c r="J43" s="35" t="inlineStr">
        <is>
          <t>2026-09-14 17:23:04</t>
        </is>
      </c>
      <c r="K43" s="23" t="n">
        <v>25</v>
      </c>
      <c r="L43" s="23" t="n">
        <v>30.8</v>
      </c>
      <c r="M43" s="23" t="n">
        <v>22.8</v>
      </c>
      <c r="N43" s="35" t="inlineStr">
        <is>
          <t>Evet</t>
        </is>
      </c>
      <c r="O43" s="35" t="inlineStr">
        <is>
          <t>Evet</t>
        </is>
      </c>
      <c r="P43" s="35" t="inlineStr">
        <is>
          <t>Evet</t>
        </is>
      </c>
      <c r="Q43" s="35" t="inlineStr">
        <is>
          <t>Evet</t>
        </is>
      </c>
    </row>
    <row r="44" ht="20" customHeight="1">
      <c r="A44" s="33" t="n">
        <v>10219</v>
      </c>
      <c r="B44" s="34" t="inlineStr">
        <is>
          <t>İçişleri Bakanlığı - Veritabanı Senkronizasyon Hatası #219</t>
        </is>
      </c>
      <c r="C44" s="34" t="inlineStr">
        <is>
          <t>İçişleri Bakanlığı</t>
        </is>
      </c>
      <c r="D44" s="34" t="inlineStr">
        <is>
          <t>Veritabanı Senkronizasyon Hatası</t>
        </is>
      </c>
      <c r="E44" s="33" t="inlineStr">
        <is>
          <t>Hata</t>
        </is>
      </c>
      <c r="F44" s="33" t="inlineStr">
        <is>
          <t>Yüksek</t>
        </is>
      </c>
      <c r="G44" s="33" t="inlineStr">
        <is>
          <t>Çözüldü</t>
        </is>
      </c>
      <c r="H44" s="34" t="inlineStr">
        <is>
          <t>Zeynep Yıldız</t>
        </is>
      </c>
      <c r="I44" s="33" t="inlineStr">
        <is>
          <t>2026-09-11 02:58:40</t>
        </is>
      </c>
      <c r="J44" s="33" t="inlineStr">
        <is>
          <t>2026-09-12 00:28:40</t>
        </is>
      </c>
      <c r="K44" s="27" t="n">
        <v>18</v>
      </c>
      <c r="L44" s="27" t="n">
        <v>21.5</v>
      </c>
      <c r="M44" s="27" t="n">
        <v>0</v>
      </c>
      <c r="N44" s="33" t="inlineStr">
        <is>
          <t>Evet</t>
        </is>
      </c>
      <c r="O44" s="33" t="inlineStr">
        <is>
          <t>Evet</t>
        </is>
      </c>
      <c r="P44" s="33" t="inlineStr">
        <is>
          <t>Evet</t>
        </is>
      </c>
      <c r="Q44" s="33" t="inlineStr">
        <is>
          <t>Hayır</t>
        </is>
      </c>
    </row>
    <row r="45" ht="20" customHeight="1">
      <c r="A45" s="35" t="n">
        <v>10221</v>
      </c>
      <c r="B45" s="36" t="inlineStr">
        <is>
          <t>Milli Eğitim Bakanlığı - Şablon / Form Düzenleme #221</t>
        </is>
      </c>
      <c r="C45" s="36" t="inlineStr">
        <is>
          <t>Milli Eğitim Bakanlığı</t>
        </is>
      </c>
      <c r="D45" s="36" t="inlineStr">
        <is>
          <t>Şablon / Form Düzenleme</t>
        </is>
      </c>
      <c r="E45" s="35" t="inlineStr">
        <is>
          <t>Destek</t>
        </is>
      </c>
      <c r="F45" s="35" t="inlineStr">
        <is>
          <t>Düşük</t>
        </is>
      </c>
      <c r="G45" s="35" t="inlineStr">
        <is>
          <t>Çözüldü</t>
        </is>
      </c>
      <c r="H45" s="36" t="inlineStr">
        <is>
          <t>Ayşe Demir</t>
        </is>
      </c>
      <c r="I45" s="35" t="inlineStr">
        <is>
          <t>2026-09-11 17:00:47</t>
        </is>
      </c>
      <c r="J45" s="35" t="inlineStr">
        <is>
          <t>2026-09-13 21:48:47</t>
        </is>
      </c>
      <c r="K45" s="23" t="n">
        <v>80</v>
      </c>
      <c r="L45" s="23" t="n">
        <v>52.8</v>
      </c>
      <c r="M45" s="23" t="n">
        <v>0</v>
      </c>
      <c r="N45" s="35" t="inlineStr">
        <is>
          <t>Hayır</t>
        </is>
      </c>
      <c r="O45" s="35" t="inlineStr">
        <is>
          <t>Evet</t>
        </is>
      </c>
      <c r="P45" s="35" t="inlineStr">
        <is>
          <t>Evet</t>
        </is>
      </c>
      <c r="Q45" s="35" t="inlineStr">
        <is>
          <t>Hayır</t>
        </is>
      </c>
    </row>
    <row r="46" ht="20" customHeight="1">
      <c r="A46" s="33" t="n">
        <v>10224</v>
      </c>
      <c r="B46" s="34" t="inlineStr">
        <is>
          <t>İçişleri Bakanlığı - Şablon / Form Düzenleme #224</t>
        </is>
      </c>
      <c r="C46" s="34" t="inlineStr">
        <is>
          <t>İçişleri Bakanlığı</t>
        </is>
      </c>
      <c r="D46" s="34" t="inlineStr">
        <is>
          <t>Şablon / Form Düzenleme</t>
        </is>
      </c>
      <c r="E46" s="33" t="inlineStr">
        <is>
          <t>Destek</t>
        </is>
      </c>
      <c r="F46" s="33" t="inlineStr">
        <is>
          <t>Yüksek</t>
        </is>
      </c>
      <c r="G46" s="33" t="inlineStr">
        <is>
          <t>Çözüldü</t>
        </is>
      </c>
      <c r="H46" s="34" t="inlineStr">
        <is>
          <t>Canan Öztürk</t>
        </is>
      </c>
      <c r="I46" s="33" t="inlineStr">
        <is>
          <t>2026-09-13 13:30:21</t>
        </is>
      </c>
      <c r="J46" s="33" t="inlineStr">
        <is>
          <t>2026-09-14 17:23:04</t>
        </is>
      </c>
      <c r="K46" s="27" t="n">
        <v>24</v>
      </c>
      <c r="L46" s="27" t="n">
        <v>59.1</v>
      </c>
      <c r="M46" s="27" t="n">
        <v>0</v>
      </c>
      <c r="N46" s="33" t="inlineStr">
        <is>
          <t>Evet</t>
        </is>
      </c>
      <c r="O46" s="33" t="inlineStr">
        <is>
          <t>Hayır</t>
        </is>
      </c>
      <c r="P46" s="33" t="inlineStr">
        <is>
          <t>Evet</t>
        </is>
      </c>
      <c r="Q46" s="33" t="inlineStr">
        <is>
          <t>Hayır</t>
        </is>
      </c>
    </row>
    <row r="47" ht="20" customHeight="1">
      <c r="A47" s="35" t="n">
        <v>10236</v>
      </c>
      <c r="B47" s="36" t="inlineStr">
        <is>
          <t>İçişleri Bakanlığı - PDF / TIFF Görüntüleme Hatası #236</t>
        </is>
      </c>
      <c r="C47" s="36" t="inlineStr">
        <is>
          <t>İçişleri Bakanlığı</t>
        </is>
      </c>
      <c r="D47" s="36" t="inlineStr">
        <is>
          <t>PDF / TIFF Görüntüleme Hatası</t>
        </is>
      </c>
      <c r="E47" s="35" t="inlineStr">
        <is>
          <t>Hata</t>
        </is>
      </c>
      <c r="F47" s="35" t="inlineStr">
        <is>
          <t>Orta</t>
        </is>
      </c>
      <c r="G47" s="35" t="inlineStr">
        <is>
          <t>Çözüldü</t>
        </is>
      </c>
      <c r="H47" s="36" t="inlineStr">
        <is>
          <t>Zeynep Yıldız</t>
        </is>
      </c>
      <c r="I47" s="35" t="inlineStr">
        <is>
          <t>2026-09-11 08:24:03</t>
        </is>
      </c>
      <c r="J47" s="35" t="inlineStr">
        <is>
          <t>2026-09-11 11:30:03</t>
        </is>
      </c>
      <c r="K47" s="23" t="n">
        <v>25</v>
      </c>
      <c r="L47" s="23" t="n">
        <v>2</v>
      </c>
      <c r="M47" s="23" t="n">
        <v>1.1</v>
      </c>
      <c r="N47" s="35" t="inlineStr">
        <is>
          <t>Evet</t>
        </is>
      </c>
      <c r="O47" s="35" t="inlineStr">
        <is>
          <t>Evet</t>
        </is>
      </c>
      <c r="P47" s="35" t="inlineStr">
        <is>
          <t>Evet</t>
        </is>
      </c>
      <c r="Q47" s="35" t="inlineStr">
        <is>
          <t>Hayır</t>
        </is>
      </c>
    </row>
    <row r="48" ht="20" customHeight="1">
      <c r="A48" s="33" t="n">
        <v>10241</v>
      </c>
      <c r="B48" s="34" t="inlineStr">
        <is>
          <t>Çevre, Şehircilik ve İklim Değişikliği Bakanlığı - Yeni Birim / Rol Açılışı #241</t>
        </is>
      </c>
      <c r="C48" s="34" t="inlineStr">
        <is>
          <t>Çevre, Şehircilik ve İklim Değişikliği Bakanlığı</t>
        </is>
      </c>
      <c r="D48" s="34" t="inlineStr">
        <is>
          <t>Yeni Birim / Rol Açılışı</t>
        </is>
      </c>
      <c r="E48" s="33" t="inlineStr">
        <is>
          <t>Destek</t>
        </is>
      </c>
      <c r="F48" s="33" t="inlineStr">
        <is>
          <t>Yüksek</t>
        </is>
      </c>
      <c r="G48" s="33" t="inlineStr">
        <is>
          <t>İşlemde</t>
        </is>
      </c>
      <c r="H48" s="34" t="inlineStr">
        <is>
          <t>Mehmet Kaya</t>
        </is>
      </c>
      <c r="I48" s="33" t="inlineStr">
        <is>
          <t>2026-09-12 17:55:56</t>
        </is>
      </c>
      <c r="J48" s="33" t="inlineStr"/>
      <c r="K48" s="27" t="n">
        <v>28</v>
      </c>
      <c r="L48" s="27" t="n">
        <v>38.7</v>
      </c>
      <c r="M48" s="27" t="n">
        <v>0</v>
      </c>
      <c r="N48" s="33" t="inlineStr">
        <is>
          <t>Evet</t>
        </is>
      </c>
      <c r="O48" s="33" t="inlineStr">
        <is>
          <t>Hayır</t>
        </is>
      </c>
      <c r="P48" s="33" t="inlineStr">
        <is>
          <t>Hayır</t>
        </is>
      </c>
      <c r="Q48" s="33" t="inlineStr">
        <is>
          <t>Hayır</t>
        </is>
      </c>
    </row>
    <row r="49" ht="20" customHeight="1">
      <c r="A49" s="35" t="n">
        <v>10243</v>
      </c>
      <c r="B49" s="36" t="inlineStr">
        <is>
          <t>Çevre, Şehircilik ve İklim Değişikliği Bakanlığı - E-İmza / Mobil İmza Sorunu #243</t>
        </is>
      </c>
      <c r="C49" s="36" t="inlineStr">
        <is>
          <t>Çevre, Şehircilik ve İklim Değişikliği Bakanlığı</t>
        </is>
      </c>
      <c r="D49" s="36" t="inlineStr">
        <is>
          <t>E-İmza / Mobil İmza Sorunu</t>
        </is>
      </c>
      <c r="E49" s="35" t="inlineStr">
        <is>
          <t>Hata</t>
        </is>
      </c>
      <c r="F49" s="35" t="inlineStr">
        <is>
          <t>Orta</t>
        </is>
      </c>
      <c r="G49" s="35" t="inlineStr">
        <is>
          <t>Çözüldü</t>
        </is>
      </c>
      <c r="H49" s="36" t="inlineStr">
        <is>
          <t>Canan Öztürk</t>
        </is>
      </c>
      <c r="I49" s="35" t="inlineStr">
        <is>
          <t>2026-09-12 07:13:46</t>
        </is>
      </c>
      <c r="J49" s="35" t="inlineStr">
        <is>
          <t>2026-09-13 16:25:46</t>
        </is>
      </c>
      <c r="K49" s="23" t="n">
        <v>40</v>
      </c>
      <c r="L49" s="23" t="n">
        <v>18</v>
      </c>
      <c r="M49" s="23" t="n">
        <v>15.2</v>
      </c>
      <c r="N49" s="35" t="inlineStr">
        <is>
          <t>Evet</t>
        </is>
      </c>
      <c r="O49" s="35" t="inlineStr">
        <is>
          <t>Evet</t>
        </is>
      </c>
      <c r="P49" s="35" t="inlineStr">
        <is>
          <t>Evet</t>
        </is>
      </c>
      <c r="Q49" s="35" t="inlineStr">
        <is>
          <t>Hayır</t>
        </is>
      </c>
    </row>
    <row r="50" ht="20" customHeight="1">
      <c r="A50" s="33" t="n">
        <v>10244</v>
      </c>
      <c r="B50" s="34" t="inlineStr">
        <is>
          <t>Sanayi ve Teknoloji Bakanlığı - Kullanıcı Yetkilendirme Talebi #244</t>
        </is>
      </c>
      <c r="C50" s="34" t="inlineStr">
        <is>
          <t>Sanayi ve Teknoloji Bakanlığı</t>
        </is>
      </c>
      <c r="D50" s="34" t="inlineStr">
        <is>
          <t>Kullanıcı Yetkilendirme Talebi</t>
        </is>
      </c>
      <c r="E50" s="33" t="inlineStr">
        <is>
          <t>Destek</t>
        </is>
      </c>
      <c r="F50" s="33" t="inlineStr">
        <is>
          <t>Düşük</t>
        </is>
      </c>
      <c r="G50" s="33" t="inlineStr">
        <is>
          <t>İşlemde</t>
        </is>
      </c>
      <c r="H50" s="34" t="inlineStr">
        <is>
          <t>Burak Şahin</t>
        </is>
      </c>
      <c r="I50" s="33" t="inlineStr">
        <is>
          <t>2026-09-11 17:58:00</t>
        </is>
      </c>
      <c r="J50" s="33" t="inlineStr"/>
      <c r="K50" s="27" t="n">
        <v>40</v>
      </c>
      <c r="L50" s="27" t="n">
        <v>45</v>
      </c>
      <c r="M50" s="27" t="n">
        <v>0</v>
      </c>
      <c r="N50" s="33" t="inlineStr">
        <is>
          <t>Evet</t>
        </is>
      </c>
      <c r="O50" s="33" t="inlineStr">
        <is>
          <t>Evet</t>
        </is>
      </c>
      <c r="P50" s="33" t="inlineStr">
        <is>
          <t>Hayır</t>
        </is>
      </c>
      <c r="Q50" s="33" t="inlineStr">
        <is>
          <t>Hayır</t>
        </is>
      </c>
    </row>
    <row r="51" ht="20" customHeight="1">
      <c r="A51" s="35" t="n">
        <v>10251</v>
      </c>
      <c r="B51" s="36" t="inlineStr">
        <is>
          <t>Milli Eğitim Bakanlığı - Kep / DYS İletişim Hatası #251</t>
        </is>
      </c>
      <c r="C51" s="36" t="inlineStr">
        <is>
          <t>Milli Eğitim Bakanlığı</t>
        </is>
      </c>
      <c r="D51" s="36" t="inlineStr">
        <is>
          <t>Kep / DYS İletişim Hatası</t>
        </is>
      </c>
      <c r="E51" s="35" t="inlineStr">
        <is>
          <t>Hata</t>
        </is>
      </c>
      <c r="F51" s="35" t="inlineStr">
        <is>
          <t>Yüksek</t>
        </is>
      </c>
      <c r="G51" s="35" t="inlineStr">
        <is>
          <t>Beklemede</t>
        </is>
      </c>
      <c r="H51" s="36" t="inlineStr">
        <is>
          <t>Zeynep Yıldız</t>
        </is>
      </c>
      <c r="I51" s="35" t="inlineStr">
        <is>
          <t>2026-09-08 10:55:04</t>
        </is>
      </c>
      <c r="J51" s="35" t="inlineStr"/>
      <c r="K51" s="23" t="n">
        <v>32</v>
      </c>
      <c r="L51" s="23" t="n">
        <v>55.1</v>
      </c>
      <c r="M51" s="23" t="n">
        <v>3.5</v>
      </c>
      <c r="N51" s="35" t="inlineStr">
        <is>
          <t>Hayır</t>
        </is>
      </c>
      <c r="O51" s="35" t="inlineStr">
        <is>
          <t>Hayır</t>
        </is>
      </c>
      <c r="P51" s="35" t="inlineStr">
        <is>
          <t>Hayır</t>
        </is>
      </c>
      <c r="Q51" s="35" t="inlineStr">
        <is>
          <t>Hayır</t>
        </is>
      </c>
    </row>
    <row r="52" ht="20" customHeight="1">
      <c r="A52" s="33" t="n">
        <v>10254</v>
      </c>
      <c r="B52" s="34" t="inlineStr">
        <is>
          <t>Adalet Bakanlığı - Yeni Birim / Rol Açılışı #254</t>
        </is>
      </c>
      <c r="C52" s="34" t="inlineStr">
        <is>
          <t>Adalet Bakanlığı</t>
        </is>
      </c>
      <c r="D52" s="34" t="inlineStr">
        <is>
          <t>Yeni Birim / Rol Açılışı</t>
        </is>
      </c>
      <c r="E52" s="33" t="inlineStr">
        <is>
          <t>Destek</t>
        </is>
      </c>
      <c r="F52" s="33" t="inlineStr">
        <is>
          <t>Orta</t>
        </is>
      </c>
      <c r="G52" s="33" t="inlineStr">
        <is>
          <t>Çözüldü</t>
        </is>
      </c>
      <c r="H52" s="34" t="inlineStr">
        <is>
          <t>Ayşe Demir</t>
        </is>
      </c>
      <c r="I52" s="33" t="inlineStr">
        <is>
          <t>2026-09-11 01:09:51</t>
        </is>
      </c>
      <c r="J52" s="33" t="inlineStr">
        <is>
          <t>2026-09-11 10:21:51</t>
        </is>
      </c>
      <c r="K52" s="27" t="n">
        <v>65</v>
      </c>
      <c r="L52" s="27" t="n">
        <v>9.199999999999999</v>
      </c>
      <c r="M52" s="27" t="n">
        <v>0</v>
      </c>
      <c r="N52" s="33" t="inlineStr">
        <is>
          <t>Hayır</t>
        </is>
      </c>
      <c r="O52" s="33" t="inlineStr">
        <is>
          <t>Evet</t>
        </is>
      </c>
      <c r="P52" s="33" t="inlineStr">
        <is>
          <t>Evet</t>
        </is>
      </c>
      <c r="Q52" s="33" t="inlineStr">
        <is>
          <t>Hayır</t>
        </is>
      </c>
    </row>
    <row r="53" ht="20" customHeight="1">
      <c r="A53" s="35" t="n">
        <v>10256</v>
      </c>
      <c r="B53" s="36" t="inlineStr">
        <is>
          <t>Gelir İdaresi Başkanlığı - Kep / DYS İletişim Hatası #256</t>
        </is>
      </c>
      <c r="C53" s="36" t="inlineStr">
        <is>
          <t>Gelir İdaresi Başkanlığı</t>
        </is>
      </c>
      <c r="D53" s="36" t="inlineStr">
        <is>
          <t>Kep / DYS İletişim Hatası</t>
        </is>
      </c>
      <c r="E53" s="35" t="inlineStr">
        <is>
          <t>Hata</t>
        </is>
      </c>
      <c r="F53" s="35" t="inlineStr">
        <is>
          <t>Orta</t>
        </is>
      </c>
      <c r="G53" s="35" t="inlineStr">
        <is>
          <t>Kapandı</t>
        </is>
      </c>
      <c r="H53" s="36" t="inlineStr">
        <is>
          <t>Burak Şahin</t>
        </is>
      </c>
      <c r="I53" s="35" t="inlineStr">
        <is>
          <t>2026-09-10 03:04:18</t>
        </is>
      </c>
      <c r="J53" s="35" t="inlineStr">
        <is>
          <t>2026-09-11 14:22:18</t>
        </is>
      </c>
      <c r="K53" s="23" t="n">
        <v>80</v>
      </c>
      <c r="L53" s="23" t="n">
        <v>11.9</v>
      </c>
      <c r="M53" s="23" t="n">
        <v>23.4</v>
      </c>
      <c r="N53" s="35" t="inlineStr">
        <is>
          <t>Hayır</t>
        </is>
      </c>
      <c r="O53" s="35" t="inlineStr">
        <is>
          <t>Evet</t>
        </is>
      </c>
      <c r="P53" s="35" t="inlineStr">
        <is>
          <t>Hayır</t>
        </is>
      </c>
      <c r="Q53" s="35" t="inlineStr">
        <is>
          <t>Hayır</t>
        </is>
      </c>
    </row>
    <row r="54" ht="20" customHeight="1">
      <c r="A54" s="33" t="n">
        <v>10257</v>
      </c>
      <c r="B54" s="34" t="inlineStr">
        <is>
          <t>Çevre, Şehircilik ve İklim Değişikliği Bakanlığı - Veritabanı Senkronizasyon Hatası #257</t>
        </is>
      </c>
      <c r="C54" s="34" t="inlineStr">
        <is>
          <t>Çevre, Şehircilik ve İklim Değişikliği Bakanlığı</t>
        </is>
      </c>
      <c r="D54" s="34" t="inlineStr">
        <is>
          <t>Veritabanı Senkronizasyon Hatası</t>
        </is>
      </c>
      <c r="E54" s="33" t="inlineStr">
        <is>
          <t>Hata</t>
        </is>
      </c>
      <c r="F54" s="33" t="inlineStr">
        <is>
          <t>Düşük</t>
        </is>
      </c>
      <c r="G54" s="33" t="inlineStr">
        <is>
          <t>Çözüldü</t>
        </is>
      </c>
      <c r="H54" s="34" t="inlineStr">
        <is>
          <t>Mehmet Kaya</t>
        </is>
      </c>
      <c r="I54" s="33" t="inlineStr">
        <is>
          <t>2026-09-10 21:00:59</t>
        </is>
      </c>
      <c r="J54" s="33" t="inlineStr">
        <is>
          <t>2026-09-13 21:24:59</t>
        </is>
      </c>
      <c r="K54" s="27" t="n">
        <v>80</v>
      </c>
      <c r="L54" s="27" t="n">
        <v>62.50000000000001</v>
      </c>
      <c r="M54" s="27" t="n">
        <v>9.9</v>
      </c>
      <c r="N54" s="33" t="inlineStr">
        <is>
          <t>Hayır</t>
        </is>
      </c>
      <c r="O54" s="33" t="inlineStr">
        <is>
          <t>Evet</t>
        </is>
      </c>
      <c r="P54" s="33" t="inlineStr">
        <is>
          <t>Evet</t>
        </is>
      </c>
      <c r="Q54" s="33" t="inlineStr">
        <is>
          <t>Hayır</t>
        </is>
      </c>
    </row>
    <row r="55" ht="20" customHeight="1">
      <c r="A55" s="35" t="n">
        <v>10258</v>
      </c>
      <c r="B55" s="36" t="inlineStr">
        <is>
          <t>Adalet Bakanlığı - PDF / TIFF Görüntüleme Hatası #258</t>
        </is>
      </c>
      <c r="C55" s="36" t="inlineStr">
        <is>
          <t>Adalet Bakanlığı</t>
        </is>
      </c>
      <c r="D55" s="36" t="inlineStr">
        <is>
          <t>PDF / TIFF Görüntüleme Hatası</t>
        </is>
      </c>
      <c r="E55" s="35" t="inlineStr">
        <is>
          <t>Hata</t>
        </is>
      </c>
      <c r="F55" s="35" t="inlineStr">
        <is>
          <t>Orta</t>
        </is>
      </c>
      <c r="G55" s="35" t="inlineStr">
        <is>
          <t>Kapandı</t>
        </is>
      </c>
      <c r="H55" s="36" t="inlineStr">
        <is>
          <t>Fatma Çelik</t>
        </is>
      </c>
      <c r="I55" s="35" t="inlineStr">
        <is>
          <t>2026-09-09 04:51:26</t>
        </is>
      </c>
      <c r="J55" s="35" t="inlineStr">
        <is>
          <t>2026-09-09 18:09:26</t>
        </is>
      </c>
      <c r="K55" s="23" t="n">
        <v>80</v>
      </c>
      <c r="L55" s="23" t="n">
        <v>13.3</v>
      </c>
      <c r="M55" s="23" t="n">
        <v>0</v>
      </c>
      <c r="N55" s="35" t="inlineStr">
        <is>
          <t>Hayır</t>
        </is>
      </c>
      <c r="O55" s="35" t="inlineStr">
        <is>
          <t>Evet</t>
        </is>
      </c>
      <c r="P55" s="35" t="inlineStr">
        <is>
          <t>Evet</t>
        </is>
      </c>
      <c r="Q55" s="35" t="inlineStr">
        <is>
          <t>Hayır</t>
        </is>
      </c>
    </row>
    <row r="56" ht="20" customHeight="1">
      <c r="A56" s="33" t="n">
        <v>10259</v>
      </c>
      <c r="B56" s="34" t="inlineStr">
        <is>
          <t>Adalet Bakanlığı - Kullanıcı Yetkilendirme Talebi #259</t>
        </is>
      </c>
      <c r="C56" s="34" t="inlineStr">
        <is>
          <t>Adalet Bakanlığı</t>
        </is>
      </c>
      <c r="D56" s="34" t="inlineStr">
        <is>
          <t>Kullanıcı Yetkilendirme Talebi</t>
        </is>
      </c>
      <c r="E56" s="33" t="inlineStr">
        <is>
          <t>Destek</t>
        </is>
      </c>
      <c r="F56" s="33" t="inlineStr">
        <is>
          <t>Orta</t>
        </is>
      </c>
      <c r="G56" s="33" t="inlineStr">
        <is>
          <t>Kapandı</t>
        </is>
      </c>
      <c r="H56" s="34" t="inlineStr">
        <is>
          <t>Emre Koç</t>
        </is>
      </c>
      <c r="I56" s="33" t="inlineStr">
        <is>
          <t>2026-09-12 22:34:15</t>
        </is>
      </c>
      <c r="J56" s="33" t="inlineStr">
        <is>
          <t>2026-09-14 17:22:15</t>
        </is>
      </c>
      <c r="K56" s="27" t="n">
        <v>50</v>
      </c>
      <c r="L56" s="27" t="n">
        <v>42.8</v>
      </c>
      <c r="M56" s="27" t="n">
        <v>0</v>
      </c>
      <c r="N56" s="33" t="inlineStr">
        <is>
          <t>Evet</t>
        </is>
      </c>
      <c r="O56" s="33" t="inlineStr">
        <is>
          <t>Evet</t>
        </is>
      </c>
      <c r="P56" s="33" t="inlineStr">
        <is>
          <t>Hayır</t>
        </is>
      </c>
      <c r="Q56" s="33" t="inlineStr">
        <is>
          <t>Hayır</t>
        </is>
      </c>
    </row>
    <row r="57" ht="20" customHeight="1">
      <c r="A57" s="35" t="n">
        <v>10263</v>
      </c>
      <c r="B57" s="36" t="inlineStr">
        <is>
          <t>Gençlik ve Spor Bakanlığı - E-İmza / Mobil İmza Sorunu #263</t>
        </is>
      </c>
      <c r="C57" s="36" t="inlineStr">
        <is>
          <t>Gençlik ve Spor Bakanlığı</t>
        </is>
      </c>
      <c r="D57" s="36" t="inlineStr">
        <is>
          <t>E-İmza / Mobil İmza Sorunu</t>
        </is>
      </c>
      <c r="E57" s="35" t="inlineStr">
        <is>
          <t>Hata</t>
        </is>
      </c>
      <c r="F57" s="35" t="inlineStr">
        <is>
          <t>Orta</t>
        </is>
      </c>
      <c r="G57" s="35" t="inlineStr">
        <is>
          <t>İşlemde</t>
        </is>
      </c>
      <c r="H57" s="36" t="inlineStr">
        <is>
          <t>Fatma Çelik</t>
        </is>
      </c>
      <c r="I57" s="35" t="inlineStr">
        <is>
          <t>2026-09-08 04:28:21</t>
        </is>
      </c>
      <c r="J57" s="35" t="inlineStr"/>
      <c r="K57" s="23" t="n">
        <v>65</v>
      </c>
      <c r="L57" s="23" t="n">
        <v>38.7</v>
      </c>
      <c r="M57" s="23" t="n">
        <v>0</v>
      </c>
      <c r="N57" s="35" t="inlineStr">
        <is>
          <t>Hayır</t>
        </is>
      </c>
      <c r="O57" s="35" t="inlineStr">
        <is>
          <t>Evet</t>
        </is>
      </c>
      <c r="P57" s="35" t="inlineStr">
        <is>
          <t>Hayır</t>
        </is>
      </c>
      <c r="Q57" s="35" t="inlineStr">
        <is>
          <t>Hayır</t>
        </is>
      </c>
    </row>
    <row r="58" ht="20" customHeight="1">
      <c r="A58" s="33" t="n">
        <v>10269</v>
      </c>
      <c r="B58" s="34" t="inlineStr">
        <is>
          <t>İçişleri Bakanlığı - PDF / TIFF Görüntüleme Hatası #269</t>
        </is>
      </c>
      <c r="C58" s="34" t="inlineStr">
        <is>
          <t>İçişleri Bakanlığı</t>
        </is>
      </c>
      <c r="D58" s="34" t="inlineStr">
        <is>
          <t>PDF / TIFF Görüntüleme Hatası</t>
        </is>
      </c>
      <c r="E58" s="33" t="inlineStr">
        <is>
          <t>Hata</t>
        </is>
      </c>
      <c r="F58" s="33" t="inlineStr">
        <is>
          <t>Orta</t>
        </is>
      </c>
      <c r="G58" s="33" t="inlineStr">
        <is>
          <t>Çözüldü</t>
        </is>
      </c>
      <c r="H58" s="34" t="inlineStr">
        <is>
          <t>Ayşe Demir</t>
        </is>
      </c>
      <c r="I58" s="33" t="inlineStr">
        <is>
          <t>2026-09-13 22:31:55</t>
        </is>
      </c>
      <c r="J58" s="33" t="inlineStr">
        <is>
          <t>2026-09-14 17:23:04</t>
        </is>
      </c>
      <c r="K58" s="27" t="n">
        <v>80</v>
      </c>
      <c r="L58" s="27" t="n">
        <v>54.5</v>
      </c>
      <c r="M58" s="27" t="n">
        <v>0</v>
      </c>
      <c r="N58" s="33" t="inlineStr">
        <is>
          <t>Hayır</t>
        </is>
      </c>
      <c r="O58" s="33" t="inlineStr">
        <is>
          <t>Hayır</t>
        </is>
      </c>
      <c r="P58" s="33" t="inlineStr">
        <is>
          <t>Evet</t>
        </is>
      </c>
      <c r="Q58" s="33" t="inlineStr">
        <is>
          <t>Hayır</t>
        </is>
      </c>
    </row>
    <row r="59" ht="20" customHeight="1">
      <c r="A59" s="35" t="n">
        <v>10270</v>
      </c>
      <c r="B59" s="36" t="inlineStr">
        <is>
          <t>Sanayi ve Teknoloji Bakanlığı - Belge Akışı / Onay Süreci #270</t>
        </is>
      </c>
      <c r="C59" s="36" t="inlineStr">
        <is>
          <t>Sanayi ve Teknoloji Bakanlığı</t>
        </is>
      </c>
      <c r="D59" s="36" t="inlineStr">
        <is>
          <t>Belge Akışı / Onay Süreci</t>
        </is>
      </c>
      <c r="E59" s="35" t="inlineStr">
        <is>
          <t>Destek</t>
        </is>
      </c>
      <c r="F59" s="35" t="inlineStr">
        <is>
          <t>Orta</t>
        </is>
      </c>
      <c r="G59" s="35" t="inlineStr">
        <is>
          <t>İşlemde</t>
        </is>
      </c>
      <c r="H59" s="36" t="inlineStr">
        <is>
          <t>Burak Şahin</t>
        </is>
      </c>
      <c r="I59" s="35" t="inlineStr">
        <is>
          <t>2026-09-13 20:53:35</t>
        </is>
      </c>
      <c r="J59" s="35" t="inlineStr"/>
      <c r="K59" s="23" t="n">
        <v>35</v>
      </c>
      <c r="L59" s="23" t="n">
        <v>29.6</v>
      </c>
      <c r="M59" s="23" t="n">
        <v>0</v>
      </c>
      <c r="N59" s="35" t="inlineStr">
        <is>
          <t>Evet</t>
        </is>
      </c>
      <c r="O59" s="35" t="inlineStr">
        <is>
          <t>Evet</t>
        </is>
      </c>
      <c r="P59" s="35" t="inlineStr">
        <is>
          <t>Hayır</t>
        </is>
      </c>
      <c r="Q59" s="35" t="inlineStr">
        <is>
          <t>Hayır</t>
        </is>
      </c>
    </row>
    <row r="60" ht="20" customHeight="1">
      <c r="A60" s="33" t="n">
        <v>10277</v>
      </c>
      <c r="B60" s="34" t="inlineStr">
        <is>
          <t>Hazine ve Maliye Bakanlığı - Belge Akışı / Onay Süreci #277</t>
        </is>
      </c>
      <c r="C60" s="34" t="inlineStr">
        <is>
          <t>Hazine ve Maliye Bakanlığı</t>
        </is>
      </c>
      <c r="D60" s="34" t="inlineStr">
        <is>
          <t>Belge Akışı / Onay Süreci</t>
        </is>
      </c>
      <c r="E60" s="33" t="inlineStr">
        <is>
          <t>Destek</t>
        </is>
      </c>
      <c r="F60" s="33" t="inlineStr">
        <is>
          <t>Düşük</t>
        </is>
      </c>
      <c r="G60" s="33" t="inlineStr">
        <is>
          <t>İşlemde</t>
        </is>
      </c>
      <c r="H60" s="34" t="inlineStr">
        <is>
          <t>Zeynep Yıldız</t>
        </is>
      </c>
      <c r="I60" s="33" t="inlineStr">
        <is>
          <t>2026-09-09 02:08:30</t>
        </is>
      </c>
      <c r="J60" s="33" t="inlineStr"/>
      <c r="K60" s="27" t="n">
        <v>25</v>
      </c>
      <c r="L60" s="27" t="n">
        <v>33.8</v>
      </c>
      <c r="M60" s="27" t="n">
        <v>0</v>
      </c>
      <c r="N60" s="33" t="inlineStr">
        <is>
          <t>Evet</t>
        </is>
      </c>
      <c r="O60" s="33" t="inlineStr">
        <is>
          <t>Evet</t>
        </is>
      </c>
      <c r="P60" s="33" t="inlineStr">
        <is>
          <t>Hayır</t>
        </is>
      </c>
      <c r="Q60" s="33" t="inlineStr">
        <is>
          <t>Hayır</t>
        </is>
      </c>
    </row>
    <row r="61" ht="20" customHeight="1">
      <c r="A61" s="35" t="n">
        <v>10278</v>
      </c>
      <c r="B61" s="36" t="inlineStr">
        <is>
          <t>Gelir İdaresi Başkanlığı - Kep / DYS İletişim Hatası #278</t>
        </is>
      </c>
      <c r="C61" s="36" t="inlineStr">
        <is>
          <t>Gelir İdaresi Başkanlığı</t>
        </is>
      </c>
      <c r="D61" s="36" t="inlineStr">
        <is>
          <t>Kep / DYS İletişim Hatası</t>
        </is>
      </c>
      <c r="E61" s="35" t="inlineStr">
        <is>
          <t>Hata</t>
        </is>
      </c>
      <c r="F61" s="35" t="inlineStr">
        <is>
          <t>Orta</t>
        </is>
      </c>
      <c r="G61" s="35" t="inlineStr">
        <is>
          <t>Beklemede</t>
        </is>
      </c>
      <c r="H61" s="36" t="inlineStr">
        <is>
          <t>Canan Öztürk</t>
        </is>
      </c>
      <c r="I61" s="35" t="inlineStr">
        <is>
          <t>2026-09-12 18:46:08</t>
        </is>
      </c>
      <c r="J61" s="35" t="inlineStr"/>
      <c r="K61" s="23" t="n">
        <v>65</v>
      </c>
      <c r="L61" s="23" t="n">
        <v>16.9</v>
      </c>
      <c r="M61" s="23" t="n">
        <v>7.2</v>
      </c>
      <c r="N61" s="35" t="inlineStr">
        <is>
          <t>Hayır</t>
        </is>
      </c>
      <c r="O61" s="35" t="inlineStr">
        <is>
          <t>Evet</t>
        </is>
      </c>
      <c r="P61" s="35" t="inlineStr">
        <is>
          <t>Hayır</t>
        </is>
      </c>
      <c r="Q61" s="35" t="inlineStr">
        <is>
          <t>Hayır</t>
        </is>
      </c>
    </row>
    <row r="62" ht="20" customHeight="1">
      <c r="A62" s="33" t="n">
        <v>10279</v>
      </c>
      <c r="B62" s="34" t="inlineStr">
        <is>
          <t>Ulaştırma ve Altyapı Bakanlığı - PDF / TIFF Görüntüleme Hatası #279</t>
        </is>
      </c>
      <c r="C62" s="34" t="inlineStr">
        <is>
          <t>Ulaştırma ve Altyapı Bakanlığı</t>
        </is>
      </c>
      <c r="D62" s="34" t="inlineStr">
        <is>
          <t>PDF / TIFF Görüntüleme Hatası</t>
        </is>
      </c>
      <c r="E62" s="33" t="inlineStr">
        <is>
          <t>Hata</t>
        </is>
      </c>
      <c r="F62" s="33" t="inlineStr">
        <is>
          <t>Düşük</t>
        </is>
      </c>
      <c r="G62" s="33" t="inlineStr">
        <is>
          <t>Çözüldü</t>
        </is>
      </c>
      <c r="H62" s="34" t="inlineStr">
        <is>
          <t>Fatma Çelik</t>
        </is>
      </c>
      <c r="I62" s="33" t="inlineStr">
        <is>
          <t>2026-09-12 17:59:07</t>
        </is>
      </c>
      <c r="J62" s="33" t="inlineStr">
        <is>
          <t>2026-09-12 22:23:07</t>
        </is>
      </c>
      <c r="K62" s="27" t="n">
        <v>35</v>
      </c>
      <c r="L62" s="27" t="n">
        <v>2.8</v>
      </c>
      <c r="M62" s="27" t="n">
        <v>1.6</v>
      </c>
      <c r="N62" s="33" t="inlineStr">
        <is>
          <t>Evet</t>
        </is>
      </c>
      <c r="O62" s="33" t="inlineStr">
        <is>
          <t>Evet</t>
        </is>
      </c>
      <c r="P62" s="33" t="inlineStr">
        <is>
          <t>Hayır</t>
        </is>
      </c>
      <c r="Q62" s="33" t="inlineStr">
        <is>
          <t>Hayır</t>
        </is>
      </c>
    </row>
    <row r="63" ht="20" customHeight="1">
      <c r="A63" s="35" t="n">
        <v>10284</v>
      </c>
      <c r="B63" s="36" t="inlineStr">
        <is>
          <t>İçişleri Bakanlığı - Kep / DYS İletişim Hatası #284</t>
        </is>
      </c>
      <c r="C63" s="36" t="inlineStr">
        <is>
          <t>İçişleri Bakanlığı</t>
        </is>
      </c>
      <c r="D63" s="36" t="inlineStr">
        <is>
          <t>Kep / DYS İletişim Hatası</t>
        </is>
      </c>
      <c r="E63" s="35" t="inlineStr">
        <is>
          <t>Hata</t>
        </is>
      </c>
      <c r="F63" s="35" t="inlineStr">
        <is>
          <t>Orta</t>
        </is>
      </c>
      <c r="G63" s="35" t="inlineStr">
        <is>
          <t>Beklemede</t>
        </is>
      </c>
      <c r="H63" s="36" t="inlineStr">
        <is>
          <t>Ayşe Demir</t>
        </is>
      </c>
      <c r="I63" s="35" t="inlineStr">
        <is>
          <t>2026-09-10 06:48:19</t>
        </is>
      </c>
      <c r="J63" s="35" t="inlineStr"/>
      <c r="K63" s="23" t="n">
        <v>65</v>
      </c>
      <c r="L63" s="23" t="n">
        <v>25.7</v>
      </c>
      <c r="M63" s="23" t="n">
        <v>0</v>
      </c>
      <c r="N63" s="35" t="inlineStr">
        <is>
          <t>Hayır</t>
        </is>
      </c>
      <c r="O63" s="35" t="inlineStr">
        <is>
          <t>Evet</t>
        </is>
      </c>
      <c r="P63" s="35" t="inlineStr">
        <is>
          <t>Hayır</t>
        </is>
      </c>
      <c r="Q63" s="35" t="inlineStr">
        <is>
          <t>Hayır</t>
        </is>
      </c>
    </row>
    <row r="64" ht="20" customHeight="1">
      <c r="A64" s="33" t="n">
        <v>10286</v>
      </c>
      <c r="B64" s="34" t="inlineStr">
        <is>
          <t>Sanayi ve Teknoloji Bakanlığı - Şablon / Form Düzenleme #286</t>
        </is>
      </c>
      <c r="C64" s="34" t="inlineStr">
        <is>
          <t>Sanayi ve Teknoloji Bakanlığı</t>
        </is>
      </c>
      <c r="D64" s="34" t="inlineStr">
        <is>
          <t>Şablon / Form Düzenleme</t>
        </is>
      </c>
      <c r="E64" s="33" t="inlineStr">
        <is>
          <t>Destek</t>
        </is>
      </c>
      <c r="F64" s="33" t="inlineStr">
        <is>
          <t>Düşük</t>
        </is>
      </c>
      <c r="G64" s="33" t="inlineStr">
        <is>
          <t>Kapandı</t>
        </is>
      </c>
      <c r="H64" s="34" t="inlineStr">
        <is>
          <t>Burak Şahin</t>
        </is>
      </c>
      <c r="I64" s="33" t="inlineStr">
        <is>
          <t>2026-09-11 04:15:21</t>
        </is>
      </c>
      <c r="J64" s="33" t="inlineStr">
        <is>
          <t>2026-09-12 01:51:21</t>
        </is>
      </c>
      <c r="K64" s="27" t="n">
        <v>40</v>
      </c>
      <c r="L64" s="27" t="n">
        <v>21.6</v>
      </c>
      <c r="M64" s="27" t="n">
        <v>0</v>
      </c>
      <c r="N64" s="33" t="inlineStr">
        <is>
          <t>Evet</t>
        </is>
      </c>
      <c r="O64" s="33" t="inlineStr">
        <is>
          <t>Evet</t>
        </is>
      </c>
      <c r="P64" s="33" t="inlineStr">
        <is>
          <t>Evet</t>
        </is>
      </c>
      <c r="Q64" s="33" t="inlineStr">
        <is>
          <t>Hayır</t>
        </is>
      </c>
    </row>
    <row r="65" ht="20" customHeight="1">
      <c r="A65" s="35" t="n">
        <v>10287</v>
      </c>
      <c r="B65" s="36" t="inlineStr">
        <is>
          <t>Adalet Bakanlığı - Kep / DYS İletişim Hatası #287</t>
        </is>
      </c>
      <c r="C65" s="36" t="inlineStr">
        <is>
          <t>Adalet Bakanlığı</t>
        </is>
      </c>
      <c r="D65" s="36" t="inlineStr">
        <is>
          <t>Kep / DYS İletişim Hatası</t>
        </is>
      </c>
      <c r="E65" s="35" t="inlineStr">
        <is>
          <t>Hata</t>
        </is>
      </c>
      <c r="F65" s="35" t="inlineStr">
        <is>
          <t>Orta</t>
        </is>
      </c>
      <c r="G65" s="35" t="inlineStr">
        <is>
          <t>Kapandı</t>
        </is>
      </c>
      <c r="H65" s="36" t="inlineStr">
        <is>
          <t>Emre Koç</t>
        </is>
      </c>
      <c r="I65" s="35" t="inlineStr">
        <is>
          <t>2026-09-08 16:48:59</t>
        </is>
      </c>
      <c r="J65" s="35" t="inlineStr">
        <is>
          <t>2026-09-10 21:24:59</t>
        </is>
      </c>
      <c r="K65" s="23" t="n">
        <v>80</v>
      </c>
      <c r="L65" s="23" t="n">
        <v>37.8</v>
      </c>
      <c r="M65" s="23" t="n">
        <v>14.8</v>
      </c>
      <c r="N65" s="35" t="inlineStr">
        <is>
          <t>Hayır</t>
        </is>
      </c>
      <c r="O65" s="35" t="inlineStr">
        <is>
          <t>Evet</t>
        </is>
      </c>
      <c r="P65" s="35" t="inlineStr">
        <is>
          <t>Evet</t>
        </is>
      </c>
      <c r="Q65" s="35" t="inlineStr">
        <is>
          <t>Hayır</t>
        </is>
      </c>
    </row>
    <row r="66" ht="20" customHeight="1">
      <c r="A66" s="33" t="n">
        <v>10291</v>
      </c>
      <c r="B66" s="34" t="inlineStr">
        <is>
          <t>Tarım ve Orman Bakanlığı - Entegrasyon / Servis Kesintisi #291</t>
        </is>
      </c>
      <c r="C66" s="34" t="inlineStr">
        <is>
          <t>Tarım ve Orman Bakanlığı</t>
        </is>
      </c>
      <c r="D66" s="34" t="inlineStr">
        <is>
          <t>Entegrasyon / Servis Kesintisi</t>
        </is>
      </c>
      <c r="E66" s="33" t="inlineStr">
        <is>
          <t>Hata</t>
        </is>
      </c>
      <c r="F66" s="33" t="inlineStr">
        <is>
          <t>Düşük</t>
        </is>
      </c>
      <c r="G66" s="33" t="inlineStr">
        <is>
          <t>Çözüldü</t>
        </is>
      </c>
      <c r="H66" s="34" t="inlineStr">
        <is>
          <t>Burak Şahin</t>
        </is>
      </c>
      <c r="I66" s="33" t="inlineStr">
        <is>
          <t>2026-09-13 11:40:51</t>
        </is>
      </c>
      <c r="J66" s="33" t="inlineStr">
        <is>
          <t>2026-09-14 17:23:04</t>
        </is>
      </c>
      <c r="K66" s="27" t="n">
        <v>50</v>
      </c>
      <c r="L66" s="27" t="n">
        <v>39.1</v>
      </c>
      <c r="M66" s="27" t="n">
        <v>0</v>
      </c>
      <c r="N66" s="33" t="inlineStr">
        <is>
          <t>Evet</t>
        </is>
      </c>
      <c r="O66" s="33" t="inlineStr">
        <is>
          <t>Evet</t>
        </is>
      </c>
      <c r="P66" s="33" t="inlineStr">
        <is>
          <t>Hayır</t>
        </is>
      </c>
      <c r="Q66" s="33" t="inlineStr">
        <is>
          <t>Evet</t>
        </is>
      </c>
    </row>
    <row r="67" ht="20" customHeight="1">
      <c r="A67" s="35" t="n">
        <v>10296</v>
      </c>
      <c r="B67" s="36" t="inlineStr">
        <is>
          <t>Sanayi ve Teknoloji Bakanlığı - Veritabanı Senkronizasyon Hatası #296</t>
        </is>
      </c>
      <c r="C67" s="36" t="inlineStr">
        <is>
          <t>Sanayi ve Teknoloji Bakanlığı</t>
        </is>
      </c>
      <c r="D67" s="36" t="inlineStr">
        <is>
          <t>Veritabanı Senkronizasyon Hatası</t>
        </is>
      </c>
      <c r="E67" s="35" t="inlineStr">
        <is>
          <t>Hata</t>
        </is>
      </c>
      <c r="F67" s="35" t="inlineStr">
        <is>
          <t>Orta</t>
        </is>
      </c>
      <c r="G67" s="35" t="inlineStr">
        <is>
          <t>Kapandı</t>
        </is>
      </c>
      <c r="H67" s="36" t="inlineStr">
        <is>
          <t>Canan Öztürk</t>
        </is>
      </c>
      <c r="I67" s="35" t="inlineStr">
        <is>
          <t>2026-09-11 02:30:56</t>
        </is>
      </c>
      <c r="J67" s="35" t="inlineStr">
        <is>
          <t>2026-09-13 06:36:56</t>
        </is>
      </c>
      <c r="K67" s="23" t="n">
        <v>65</v>
      </c>
      <c r="L67" s="23" t="n">
        <v>52.1</v>
      </c>
      <c r="M67" s="23" t="n">
        <v>0</v>
      </c>
      <c r="N67" s="35" t="inlineStr">
        <is>
          <t>Hayır</t>
        </is>
      </c>
      <c r="O67" s="35" t="inlineStr">
        <is>
          <t>Hayır</t>
        </is>
      </c>
      <c r="P67" s="35" t="inlineStr">
        <is>
          <t>Evet</t>
        </is>
      </c>
      <c r="Q67" s="35" t="inlineStr">
        <is>
          <t>Hayır</t>
        </is>
      </c>
    </row>
    <row r="68" ht="20" customHeight="1">
      <c r="A68" s="33" t="n">
        <v>10300</v>
      </c>
      <c r="B68" s="34" t="inlineStr">
        <is>
          <t>Gelir İdaresi Başkanlığı - Şablon / Form Düzenleme #300</t>
        </is>
      </c>
      <c r="C68" s="34" t="inlineStr">
        <is>
          <t>Gelir İdaresi Başkanlığı</t>
        </is>
      </c>
      <c r="D68" s="34" t="inlineStr">
        <is>
          <t>Şablon / Form Düzenleme</t>
        </is>
      </c>
      <c r="E68" s="33" t="inlineStr">
        <is>
          <t>Destek</t>
        </is>
      </c>
      <c r="F68" s="33" t="inlineStr">
        <is>
          <t>Düşük</t>
        </is>
      </c>
      <c r="G68" s="33" t="inlineStr">
        <is>
          <t>Çözüldü</t>
        </is>
      </c>
      <c r="H68" s="34" t="inlineStr">
        <is>
          <t>Ayşe Demir</t>
        </is>
      </c>
      <c r="I68" s="33" t="inlineStr">
        <is>
          <t>2026-09-08 09:26:19</t>
        </is>
      </c>
      <c r="J68" s="33" t="inlineStr">
        <is>
          <t>2026-09-10 11:20:19</t>
        </is>
      </c>
      <c r="K68" s="27" t="n">
        <v>80</v>
      </c>
      <c r="L68" s="27" t="n">
        <v>42.4</v>
      </c>
      <c r="M68" s="27" t="n">
        <v>7.5</v>
      </c>
      <c r="N68" s="33" t="inlineStr">
        <is>
          <t>Hayır</t>
        </is>
      </c>
      <c r="O68" s="33" t="inlineStr">
        <is>
          <t>Evet</t>
        </is>
      </c>
      <c r="P68" s="33" t="inlineStr">
        <is>
          <t>Evet</t>
        </is>
      </c>
      <c r="Q68" s="33" t="inlineStr">
        <is>
          <t>Hayır</t>
        </is>
      </c>
    </row>
  </sheetData>
  <autoFilter ref="A1:Q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2026-09-14T14:23:04Z</dcterms:created>
  <dcterms:modified xsi:type="dcterms:W3CDTF">2026-09-14T14:23:04Z</dcterms:modified>
</cp:coreProperties>
</file>